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ASUS\Desktop\RNW\Excel\"/>
    </mc:Choice>
  </mc:AlternateContent>
  <xr:revisionPtr revIDLastSave="0" documentId="13_ncr:1_{B5E6679A-D7BC-409A-9DE7-0FA627E7AA4B}" xr6:coauthVersionLast="47" xr6:coauthVersionMax="47" xr10:uidLastSave="{00000000-0000-0000-0000-000000000000}"/>
  <bookViews>
    <workbookView xWindow="-108" yWindow="-108" windowWidth="23256" windowHeight="13176" xr2:uid="{00000000-000D-0000-FFFF-FFFF00000000}"/>
  </bookViews>
  <sheets>
    <sheet name="DASHBOARD" sheetId="24" r:id="rId1"/>
    <sheet name="Dataset" sheetId="2" r:id="rId2"/>
    <sheet name="Task_1" sheetId="13" r:id="rId3"/>
    <sheet name="Task_2" sheetId="14" r:id="rId4"/>
    <sheet name="Task_3" sheetId="15" r:id="rId5"/>
    <sheet name="Task_4" sheetId="16" r:id="rId6"/>
    <sheet name="Task_5 " sheetId="17" r:id="rId7"/>
    <sheet name="Task_6" sheetId="18" r:id="rId8"/>
    <sheet name="Task_7" sheetId="19" r:id="rId9"/>
    <sheet name="Task_8" sheetId="21" r:id="rId10"/>
    <sheet name="Task_9_kpi" sheetId="23" r:id="rId11"/>
  </sheets>
  <definedNames>
    <definedName name="_xlnm._FilterDatabase" localSheetId="1" hidden="1">Dataset!$A$1:$I$201</definedName>
    <definedName name="_xlnm._FilterDatabase" localSheetId="2" hidden="1">Task_1!$A$1:$C$201</definedName>
    <definedName name="_xlnm._FilterDatabase" localSheetId="8" hidden="1">Task_7!$A$1:$E$31</definedName>
    <definedName name="NativeTimeline_Order_Date">#N/A</definedName>
    <definedName name="Slicer_Product_Category">#N/A</definedName>
    <definedName name="Slicer_Region">#N/A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3" i="24" l="1"/>
  <c r="Q13" i="24"/>
  <c r="AE13" i="24"/>
  <c r="X13" i="24"/>
  <c r="B6" i="14" a="1"/>
  <c r="B6" i="14" s="1"/>
  <c r="B3" i="14"/>
  <c r="E3" i="14" a="1"/>
  <c r="E3" i="14" s="1"/>
  <c r="E2" i="14" a="1"/>
  <c r="E2" i="14" s="1"/>
  <c r="B2" i="14"/>
  <c r="B1" i="14"/>
  <c r="H2" i="23" a="1"/>
  <c r="H2" i="23" s="1"/>
  <c r="E2" i="23"/>
  <c r="F2" i="23" s="1" a="1"/>
  <c r="F2" i="23" s="1"/>
  <c r="A2" i="17"/>
  <c r="B2" i="17" a="1"/>
  <c r="B2" i="17" s="1"/>
  <c r="A2" i="23" a="1"/>
  <c r="A2" i="23" s="1"/>
  <c r="E4" i="14" a="1"/>
  <c r="E4" i="14" s="1"/>
  <c r="E5" i="14" a="1"/>
  <c r="E5" i="14" s="1"/>
  <c r="E6" i="14" a="1"/>
  <c r="E6" i="14" s="1"/>
  <c r="E7" i="14" a="1"/>
  <c r="E7" i="14" s="1"/>
  <c r="E8" i="14" a="1"/>
  <c r="E8" i="14" s="1"/>
  <c r="D3" i="18"/>
  <c r="D4" i="18"/>
  <c r="D5" i="18"/>
  <c r="D6" i="18"/>
  <c r="D7" i="18"/>
  <c r="D8" i="18"/>
  <c r="D9" i="18"/>
  <c r="D10" i="18"/>
  <c r="D11" i="18"/>
  <c r="D12" i="18"/>
  <c r="D13" i="18"/>
  <c r="D14" i="18"/>
  <c r="D15" i="18"/>
  <c r="D16" i="18"/>
  <c r="D17" i="18"/>
  <c r="D18" i="18"/>
  <c r="D19" i="18"/>
  <c r="D20" i="18"/>
  <c r="D21" i="18"/>
  <c r="D22" i="18"/>
  <c r="D23" i="18"/>
  <c r="D24" i="18"/>
  <c r="D25" i="18"/>
  <c r="D26" i="18"/>
  <c r="D27" i="18"/>
  <c r="D28" i="18"/>
  <c r="D29" i="18"/>
  <c r="D30" i="18"/>
  <c r="D31" i="18"/>
  <c r="D32" i="18"/>
  <c r="D33" i="18"/>
  <c r="D34" i="18"/>
  <c r="D35" i="18"/>
  <c r="D36" i="18"/>
  <c r="D37" i="18"/>
  <c r="D38" i="18"/>
  <c r="D39" i="18"/>
  <c r="D40" i="18"/>
  <c r="D41" i="18"/>
  <c r="D42" i="18"/>
  <c r="D43" i="18"/>
  <c r="D44" i="18"/>
  <c r="D45" i="18"/>
  <c r="D46" i="18"/>
  <c r="D47" i="18"/>
  <c r="D48" i="18"/>
  <c r="D49" i="18"/>
  <c r="D50" i="18"/>
  <c r="D51" i="18"/>
  <c r="D52" i="18"/>
  <c r="D53" i="18"/>
  <c r="D54" i="18"/>
  <c r="D55" i="18"/>
  <c r="D56" i="18"/>
  <c r="D57" i="18"/>
  <c r="D58" i="18"/>
  <c r="D59" i="18"/>
  <c r="D60" i="18"/>
  <c r="D61" i="18"/>
  <c r="D62" i="18"/>
  <c r="D63" i="18"/>
  <c r="D64" i="18"/>
  <c r="D65" i="18"/>
  <c r="D66" i="18"/>
  <c r="D67" i="18"/>
  <c r="D68" i="18"/>
  <c r="D69" i="18"/>
  <c r="D70" i="18"/>
  <c r="D71" i="18"/>
  <c r="D72" i="18"/>
  <c r="D73" i="18"/>
  <c r="D74" i="18"/>
  <c r="D75" i="18"/>
  <c r="D76" i="18"/>
  <c r="D77" i="18"/>
  <c r="D78" i="18"/>
  <c r="D79" i="18"/>
  <c r="D80" i="18"/>
  <c r="D81" i="18"/>
  <c r="D82" i="18"/>
  <c r="D83" i="18"/>
  <c r="D84" i="18"/>
  <c r="D85" i="18"/>
  <c r="D86" i="18"/>
  <c r="D87" i="18"/>
  <c r="D88" i="18"/>
  <c r="D89" i="18"/>
  <c r="D90" i="18"/>
  <c r="D91" i="18"/>
  <c r="D92" i="18"/>
  <c r="D93" i="18"/>
  <c r="D94" i="18"/>
  <c r="D95" i="18"/>
  <c r="D96" i="18"/>
  <c r="D97" i="18"/>
  <c r="D98" i="18"/>
  <c r="D99" i="18"/>
  <c r="D100" i="18"/>
  <c r="D101" i="18"/>
  <c r="D102" i="18"/>
  <c r="D103" i="18"/>
  <c r="D104" i="18"/>
  <c r="D105" i="18"/>
  <c r="D106" i="18"/>
  <c r="D107" i="18"/>
  <c r="D108" i="18"/>
  <c r="D109" i="18"/>
  <c r="D110" i="18"/>
  <c r="D111" i="18"/>
  <c r="D112" i="18"/>
  <c r="D113" i="18"/>
  <c r="D114" i="18"/>
  <c r="D115" i="18"/>
  <c r="D116" i="18"/>
  <c r="D117" i="18"/>
  <c r="D118" i="18"/>
  <c r="D119" i="18"/>
  <c r="D120" i="18"/>
  <c r="D121" i="18"/>
  <c r="D122" i="18"/>
  <c r="D123" i="18"/>
  <c r="D124" i="18"/>
  <c r="D125" i="18"/>
  <c r="D126" i="18"/>
  <c r="D127" i="18"/>
  <c r="D128" i="18"/>
  <c r="D129" i="18"/>
  <c r="D130" i="18"/>
  <c r="D131" i="18"/>
  <c r="D132" i="18"/>
  <c r="D133" i="18"/>
  <c r="D134" i="18"/>
  <c r="D135" i="18"/>
  <c r="D136" i="18"/>
  <c r="D137" i="18"/>
  <c r="D138" i="18"/>
  <c r="D139" i="18"/>
  <c r="D140" i="18"/>
  <c r="D141" i="18"/>
  <c r="D142" i="18"/>
  <c r="D143" i="18"/>
  <c r="D144" i="18"/>
  <c r="D145" i="18"/>
  <c r="D146" i="18"/>
  <c r="D147" i="18"/>
  <c r="D148" i="18"/>
  <c r="D149" i="18"/>
  <c r="D150" i="18"/>
  <c r="D151" i="18"/>
  <c r="D152" i="18"/>
  <c r="D153" i="18"/>
  <c r="D154" i="18"/>
  <c r="D155" i="18"/>
  <c r="D156" i="18"/>
  <c r="D157" i="18"/>
  <c r="D158" i="18"/>
  <c r="D159" i="18"/>
  <c r="D160" i="18"/>
  <c r="D161" i="18"/>
  <c r="D162" i="18"/>
  <c r="D163" i="18"/>
  <c r="D164" i="18"/>
  <c r="D165" i="18"/>
  <c r="D166" i="18"/>
  <c r="D167" i="18"/>
  <c r="D168" i="18"/>
  <c r="D169" i="18"/>
  <c r="D170" i="18"/>
  <c r="D171" i="18"/>
  <c r="D172" i="18"/>
  <c r="D173" i="18"/>
  <c r="D174" i="18"/>
  <c r="D175" i="18"/>
  <c r="D176" i="18"/>
  <c r="D177" i="18"/>
  <c r="D178" i="18"/>
  <c r="D179" i="18"/>
  <c r="D180" i="18"/>
  <c r="D181" i="18"/>
  <c r="D182" i="18"/>
  <c r="D183" i="18"/>
  <c r="D184" i="18"/>
  <c r="D185" i="18"/>
  <c r="D186" i="18"/>
  <c r="D187" i="18"/>
  <c r="D188" i="18"/>
  <c r="D189" i="18"/>
  <c r="D190" i="18"/>
  <c r="D191" i="18"/>
  <c r="D192" i="18"/>
  <c r="D193" i="18"/>
  <c r="D194" i="18"/>
  <c r="D195" i="18"/>
  <c r="D196" i="18"/>
  <c r="D197" i="18"/>
  <c r="D198" i="18"/>
  <c r="D199" i="18"/>
  <c r="D200" i="18"/>
  <c r="D201" i="18"/>
  <c r="D2" i="18"/>
  <c r="D2" i="17"/>
  <c r="C2" i="17"/>
  <c r="E2" i="17" s="1"/>
  <c r="B7" i="14" l="1"/>
  <c r="B8" i="14" s="1"/>
  <c r="I2" i="23"/>
  <c r="H3" i="23" a="1"/>
  <c r="H3" i="23" s="1"/>
  <c r="E4" i="23"/>
  <c r="E3" i="23"/>
  <c r="F3" i="23" s="1" a="1"/>
  <c r="F3" i="23" s="1"/>
  <c r="A4" i="17"/>
  <c r="A3" i="17"/>
  <c r="C2" i="23"/>
  <c r="B2" i="23"/>
  <c r="A3" i="23" a="1"/>
  <c r="A3" i="23" s="1"/>
  <c r="A4" i="23" s="1" a="1"/>
  <c r="A4" i="23" s="1"/>
  <c r="B3" i="17" a="1"/>
  <c r="B3" i="17" s="1"/>
  <c r="B4" i="17" a="1"/>
  <c r="B4" i="17" s="1"/>
  <c r="E5" i="23" l="1"/>
  <c r="F5" i="23" s="1" a="1"/>
  <c r="F5" i="23" s="1"/>
  <c r="F4" i="23" a="1"/>
  <c r="F4" i="23" s="1"/>
  <c r="E6" i="23"/>
  <c r="B3" i="23"/>
  <c r="C3" i="23"/>
  <c r="I3" i="23"/>
  <c r="H4" i="23" a="1"/>
  <c r="H4" i="23" s="1"/>
  <c r="B4" i="23"/>
  <c r="C4" i="23"/>
  <c r="A5" i="17"/>
  <c r="B5" i="17" s="1" a="1"/>
  <c r="B5" i="17" s="1"/>
  <c r="A6" i="17"/>
  <c r="B6" i="17" s="1" a="1"/>
  <c r="B6" i="17" s="1"/>
  <c r="A5" i="23" a="1"/>
  <c r="A5" i="23" s="1"/>
  <c r="D3" i="17"/>
  <c r="C3" i="17"/>
  <c r="E3" i="17" s="1"/>
  <c r="C4" i="17"/>
  <c r="E4" i="17" s="1"/>
  <c r="D4" i="17"/>
  <c r="E8" i="23" l="1"/>
  <c r="E7" i="23"/>
  <c r="F7" i="23" s="1" a="1"/>
  <c r="F7" i="23" s="1"/>
  <c r="F6" i="23" a="1"/>
  <c r="F6" i="23" s="1"/>
  <c r="I4" i="23"/>
  <c r="H5" i="23" a="1"/>
  <c r="H5" i="23" s="1"/>
  <c r="A6" i="23" a="1"/>
  <c r="A6" i="23" s="1"/>
  <c r="C5" i="23"/>
  <c r="B5" i="23"/>
  <c r="D5" i="17"/>
  <c r="C5" i="17"/>
  <c r="E5" i="17" s="1"/>
  <c r="A7" i="17"/>
  <c r="B7" i="17" s="1" a="1"/>
  <c r="B7" i="17" s="1"/>
  <c r="A8" i="17"/>
  <c r="B8" i="17" s="1" a="1"/>
  <c r="B8" i="17" s="1"/>
  <c r="C6" i="17"/>
  <c r="E6" i="17" s="1"/>
  <c r="D6" i="17"/>
  <c r="E9" i="23" l="1"/>
  <c r="F9" i="23" s="1" a="1"/>
  <c r="F9" i="23" s="1"/>
  <c r="E10" i="23"/>
  <c r="F8" i="23" a="1"/>
  <c r="F8" i="23" s="1"/>
  <c r="I5" i="23"/>
  <c r="H6" i="23" a="1"/>
  <c r="H6" i="23" s="1"/>
  <c r="I6" i="23" s="1"/>
  <c r="B6" i="23"/>
  <c r="C6" i="23"/>
  <c r="C7" i="17"/>
  <c r="E7" i="17" s="1"/>
  <c r="D7" i="17"/>
  <c r="A10" i="17"/>
  <c r="B10" i="17" s="1" a="1"/>
  <c r="B10" i="17" s="1"/>
  <c r="A9" i="17"/>
  <c r="B9" i="17" s="1" a="1"/>
  <c r="B9" i="17" s="1"/>
  <c r="C8" i="17"/>
  <c r="E8" i="17" s="1"/>
  <c r="D8" i="17"/>
  <c r="E12" i="23" l="1"/>
  <c r="E11" i="23"/>
  <c r="F11" i="23" s="1" a="1"/>
  <c r="F11" i="23" s="1"/>
  <c r="F10" i="23" a="1"/>
  <c r="F10" i="23" s="1"/>
  <c r="A12" i="17"/>
  <c r="B12" i="17" s="1" a="1"/>
  <c r="B12" i="17" s="1"/>
  <c r="A11" i="17"/>
  <c r="B11" i="17" s="1" a="1"/>
  <c r="B11" i="17" s="1"/>
  <c r="C9" i="17"/>
  <c r="E9" i="17" s="1"/>
  <c r="D9" i="17"/>
  <c r="C10" i="17"/>
  <c r="E10" i="17" s="1"/>
  <c r="D10" i="17"/>
  <c r="E14" i="23" l="1"/>
  <c r="F14" i="23" s="1" a="1"/>
  <c r="F14" i="23" s="1"/>
  <c r="E13" i="23"/>
  <c r="F13" i="23" s="1" a="1"/>
  <c r="F13" i="23" s="1"/>
  <c r="F12" i="23" a="1"/>
  <c r="F12" i="23" s="1"/>
  <c r="A13" i="17"/>
  <c r="B13" i="17" s="1" a="1"/>
  <c r="B13" i="17" s="1"/>
  <c r="A14" i="17"/>
  <c r="B14" i="17" s="1" a="1"/>
  <c r="B14" i="17" s="1"/>
  <c r="C11" i="17"/>
  <c r="E11" i="17" s="1"/>
  <c r="D11" i="17"/>
  <c r="C12" i="17"/>
  <c r="E12" i="17" s="1"/>
  <c r="D12" i="17"/>
  <c r="C13" i="17" l="1"/>
  <c r="E13" i="17" s="1"/>
  <c r="D13" i="17"/>
  <c r="C14" i="17"/>
  <c r="E14" i="17" s="1"/>
  <c r="D14" i="17"/>
  <c r="A2" i="19" a="1"/>
  <c r="A2" i="19" s="1"/>
  <c r="A3" i="19" l="1" a="1"/>
  <c r="A3" i="19" s="1"/>
  <c r="C2" i="19"/>
  <c r="B2" i="19"/>
  <c r="B3" i="19" l="1"/>
  <c r="C3" i="19"/>
  <c r="A4" i="19" l="1" a="1"/>
  <c r="A4" i="19" s="1"/>
  <c r="A5" i="19" l="1" a="1"/>
  <c r="A5" i="19" s="1"/>
  <c r="B4" i="19"/>
  <c r="C4" i="19"/>
  <c r="C5" i="19" l="1"/>
  <c r="B5" i="19"/>
  <c r="A6" i="19" a="1"/>
  <c r="A6" i="19" s="1"/>
  <c r="C6" i="19" l="1"/>
  <c r="B6" i="19"/>
  <c r="A7" i="19" a="1"/>
  <c r="A7" i="19" s="1"/>
  <c r="B7" i="19" l="1"/>
  <c r="C7" i="19"/>
  <c r="A8" i="19" a="1"/>
  <c r="A8" i="19" s="1"/>
  <c r="B8" i="19" l="1"/>
  <c r="C8" i="19"/>
  <c r="A9" i="19" a="1"/>
  <c r="A9" i="19" s="1"/>
  <c r="B9" i="19" l="1"/>
  <c r="C9" i="19"/>
  <c r="A10" i="19" a="1"/>
  <c r="A10" i="19" s="1"/>
  <c r="C10" i="19" l="1"/>
  <c r="B10" i="19"/>
  <c r="A11" i="19" a="1"/>
  <c r="A11" i="19" s="1"/>
  <c r="B11" i="19" l="1"/>
  <c r="C11" i="19"/>
  <c r="A12" i="19" a="1"/>
  <c r="A12" i="19" s="1"/>
  <c r="C12" i="19" l="1"/>
  <c r="B12" i="19"/>
  <c r="A13" i="19" a="1"/>
  <c r="A13" i="19" s="1"/>
  <c r="B13" i="19" l="1"/>
  <c r="C13" i="19"/>
  <c r="A14" i="19" a="1"/>
  <c r="A14" i="19" s="1"/>
  <c r="B14" i="19" l="1"/>
  <c r="C14" i="19"/>
  <c r="A15" i="19" a="1"/>
  <c r="A15" i="19" s="1"/>
  <c r="A16" i="19" l="1" a="1"/>
  <c r="A16" i="19" s="1"/>
  <c r="B15" i="19"/>
  <c r="C15" i="19"/>
  <c r="A17" i="19" l="1" a="1"/>
  <c r="A17" i="19" s="1"/>
  <c r="C16" i="19"/>
  <c r="B16" i="19"/>
  <c r="A18" i="19" l="1" a="1"/>
  <c r="A18" i="19" s="1"/>
  <c r="C17" i="19"/>
  <c r="B17" i="19"/>
  <c r="A19" i="19" l="1" a="1"/>
  <c r="A19" i="19" s="1"/>
  <c r="B18" i="19"/>
  <c r="C18" i="19"/>
  <c r="B19" i="19" l="1"/>
  <c r="C19" i="19"/>
  <c r="A20" i="19" a="1"/>
  <c r="A20" i="19" s="1"/>
  <c r="C20" i="19" l="1"/>
  <c r="B20" i="19"/>
  <c r="A21" i="19" a="1"/>
  <c r="A21" i="19" s="1"/>
  <c r="A22" i="19" l="1" a="1"/>
  <c r="A22" i="19" s="1"/>
  <c r="B21" i="19"/>
  <c r="C21" i="19"/>
  <c r="A23" i="19" l="1" a="1"/>
  <c r="A23" i="19" s="1"/>
  <c r="C22" i="19"/>
  <c r="B22" i="19"/>
  <c r="B23" i="19" l="1"/>
  <c r="C23" i="19"/>
  <c r="A24" i="19" a="1"/>
  <c r="A24" i="19" s="1"/>
  <c r="B24" i="19" l="1"/>
  <c r="C24" i="19"/>
  <c r="A25" i="19" a="1"/>
  <c r="A25" i="19" s="1"/>
  <c r="A26" i="19" l="1" a="1"/>
  <c r="A26" i="19" s="1"/>
  <c r="C25" i="19"/>
  <c r="B25" i="19"/>
  <c r="B26" i="19" l="1"/>
  <c r="C26" i="19"/>
  <c r="A27" i="19" a="1"/>
  <c r="A27" i="19" s="1"/>
  <c r="C27" i="19" l="1"/>
  <c r="B27" i="19"/>
  <c r="A28" i="19" a="1"/>
  <c r="A28" i="19" s="1"/>
  <c r="A29" i="19" l="1" a="1"/>
  <c r="A29" i="19" s="1"/>
  <c r="C28" i="19"/>
  <c r="B28" i="19"/>
  <c r="A30" i="19" l="1" a="1"/>
  <c r="A30" i="19" s="1"/>
  <c r="B29" i="19"/>
  <c r="C29" i="19"/>
  <c r="B30" i="19" l="1"/>
  <c r="C30" i="19"/>
  <c r="A31" i="19" a="1"/>
  <c r="A31" i="19" s="1"/>
  <c r="B31" i="19" l="1"/>
  <c r="C31" i="19"/>
  <c r="E26" i="19" l="1"/>
  <c r="D26" i="19"/>
  <c r="D24" i="19"/>
  <c r="E24" i="19"/>
  <c r="E25" i="19"/>
  <c r="D25" i="19"/>
  <c r="E23" i="19"/>
  <c r="D23" i="19"/>
  <c r="E21" i="19"/>
  <c r="E22" i="19"/>
  <c r="D22" i="19"/>
  <c r="D21" i="19"/>
  <c r="E20" i="19"/>
  <c r="D20" i="19"/>
  <c r="D18" i="19"/>
  <c r="E19" i="19"/>
  <c r="D19" i="19"/>
  <c r="E17" i="19"/>
  <c r="E18" i="19"/>
  <c r="D17" i="19"/>
  <c r="D16" i="19"/>
  <c r="E16" i="19"/>
  <c r="E15" i="19"/>
  <c r="D15" i="19"/>
  <c r="E14" i="19"/>
  <c r="D14" i="19"/>
  <c r="E13" i="19"/>
  <c r="D13" i="19"/>
  <c r="E12" i="19"/>
  <c r="D12" i="19"/>
  <c r="D11" i="19"/>
  <c r="E11" i="19"/>
  <c r="E10" i="19"/>
  <c r="D10" i="19"/>
  <c r="D9" i="19"/>
  <c r="E9" i="19"/>
  <c r="D8" i="19"/>
  <c r="E4" i="19"/>
  <c r="D2" i="19"/>
  <c r="E2" i="19"/>
  <c r="E8" i="19"/>
  <c r="D7" i="19"/>
  <c r="E5" i="19"/>
  <c r="D5" i="19"/>
  <c r="D6" i="19"/>
  <c r="D3" i="19"/>
  <c r="E6" i="19"/>
  <c r="E3" i="19"/>
  <c r="E7" i="19"/>
  <c r="D4" i="19"/>
  <c r="E31" i="19"/>
  <c r="D31" i="19"/>
  <c r="D27" i="19"/>
  <c r="D28" i="19"/>
  <c r="E28" i="19"/>
  <c r="D30" i="19"/>
  <c r="E30" i="19"/>
  <c r="E29" i="19"/>
  <c r="D29" i="19"/>
  <c r="E27" i="1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<sst xmlns="http://schemas.openxmlformats.org/spreadsheetml/2006/main" count="1812" uniqueCount="161">
  <si>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</si>
  <si>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</si>
  <si>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</si>
  <si>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</si>
  <si>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</si>
  <si>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</si>
  <si>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</si>
  <si>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</si>
  <si>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</si>
  <si>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</si>
  <si>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</si>
  <si>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</si>
  <si>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</si>
  <si>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</si>
  <si>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</si>
  <si>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</si>
  <si>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</si>
  <si>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</si>
  <si>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</si>
  <si>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</si>
  <si>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</si>
  <si>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</si>
  <si>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</si>
  <si>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</si>
  <si>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</si>
  <si>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</si>
  <si>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</si>
  <si>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</si>
  <si>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</si>
  <si>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</si>
  <si>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</si>
  <si>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</si>
  <si>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</si>
  <si>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</si>
  <si>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</si>
  <si>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</si>
  <si>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</si>
  <si>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</si>
  <si>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</si>
  <si>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</si>
  <si>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</si>
  <si>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</si>
  <si>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</si>
  <si>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</si>
  <si>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</si>
  <si>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</si>
  <si>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</si>
  <si>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</si>
  <si>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</si>
  <si>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</si>
  <si>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</si>
  <si>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</si>
  <si>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</si>
  <si>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</si>
  <si>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</si>
  <si>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</si>
  <si>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</si>
  <si>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</si>
  <si>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</si>
  <si>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</si>
  <si>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</si>
  <si>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</si>
  <si>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</si>
  <si>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</si>
  <si>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</si>
  <si>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</si>
  <si>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</si>
  <si>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</si>
  <si>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</si>
  <si>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</si>
  <si>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</si>
  <si>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</si>
  <si>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</si>
  <si>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</si>
  <si>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</si>
  <si>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</si>
  <si>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Maximum</t>
  </si>
  <si>
    <t>Minimum</t>
  </si>
  <si>
    <t>Count</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</si>
  <si>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</si>
  <si>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</si>
  <si>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</si>
  <si>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</si>
  <si>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</si>
  <si>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</si>
  <si>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</si>
  <si>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</si>
  <si>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</si>
  <si>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</si>
  <si>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</si>
  <si>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</si>
  <si>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</si>
  <si>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</si>
  <si>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</si>
  <si>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</si>
  <si>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</si>
  <si>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</si>
  <si>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</si>
  <si>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</si>
  <si>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</si>
  <si>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</si>
  <si>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</si>
  <si>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</si>
  <si>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RESIDUAL OUTPUT</t>
  </si>
  <si>
    <t>Observation</t>
  </si>
  <si>
    <t>Predicted 331.55</t>
  </si>
  <si>
    <t>Residuals</t>
  </si>
  <si>
    <t>Standard Residuals</t>
  </si>
  <si>
    <t>PROBABILITY OUTPUT</t>
  </si>
  <si>
    <t>Percentile</t>
  </si>
  <si>
    <t>Mean</t>
  </si>
  <si>
    <t>Median</t>
  </si>
  <si>
    <t>Mode</t>
  </si>
  <si>
    <t>Standard Deviation</t>
  </si>
  <si>
    <t>Sample Variance</t>
  </si>
  <si>
    <t>Kurtosis</t>
  </si>
  <si>
    <t>Skewness</t>
  </si>
  <si>
    <t>Range</t>
  </si>
  <si>
    <t>Sum</t>
  </si>
  <si>
    <t>Confidence Level(95.0%)</t>
  </si>
  <si>
    <t>Month</t>
  </si>
  <si>
    <t>Total Sales</t>
  </si>
  <si>
    <t>MoM Change</t>
  </si>
  <si>
    <t xml:space="preserve"> Growth % </t>
  </si>
  <si>
    <t>Trend</t>
  </si>
  <si>
    <t>Timestamp</t>
  </si>
  <si>
    <t>Status</t>
  </si>
  <si>
    <t>Rank</t>
  </si>
  <si>
    <t>Total Profit</t>
  </si>
  <si>
    <t>Current Avg Discount</t>
  </si>
  <si>
    <t>New Discount %</t>
  </si>
  <si>
    <t>New Total Profit</t>
  </si>
  <si>
    <t>Profit Change</t>
  </si>
  <si>
    <t>Impact %</t>
  </si>
  <si>
    <t>Discount %</t>
  </si>
  <si>
    <t>Expected Profit</t>
  </si>
  <si>
    <t>Grand Total</t>
  </si>
  <si>
    <t>Sum of Sales</t>
  </si>
  <si>
    <t>Sum of Profit</t>
  </si>
  <si>
    <t>2024</t>
  </si>
  <si>
    <t>2025</t>
  </si>
  <si>
    <t>Apr</t>
  </si>
  <si>
    <t>May</t>
  </si>
  <si>
    <t>Jun</t>
  </si>
  <si>
    <t>Jul</t>
  </si>
  <si>
    <t>Aug</t>
  </si>
  <si>
    <t>Sep</t>
  </si>
  <si>
    <t>Oct</t>
  </si>
  <si>
    <t>Nov</t>
  </si>
  <si>
    <t>Dec</t>
  </si>
  <si>
    <t>Jan</t>
  </si>
  <si>
    <t>Feb</t>
  </si>
  <si>
    <t>Mar</t>
  </si>
  <si>
    <t>Years (Order_Date)</t>
  </si>
  <si>
    <t>Months (Order_Date)</t>
  </si>
  <si>
    <t>Monthly Sales</t>
  </si>
  <si>
    <t>Category</t>
  </si>
  <si>
    <t>Total Orders</t>
  </si>
  <si>
    <t>Avg Discount %</t>
  </si>
  <si>
    <t>(blank)</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</si>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</sst>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mm/yyyy"/>
    <numFmt numFmtId="165" formatCode="[$-F400]h\.mm\.ss\ AM/PM"/>
  </numFmts>
  <fonts count="13" x14ac:knownFonts="1">
    <font>
      <sz val="11"/>
      <color theme="1"/>
      <name val="Rockwell"/>
      <scheme val="minor"/>
    </font>
    <font>
      <sz val="11"/>
      <color theme="1"/>
      <name val="Rockwell"/>
      <family val="2"/>
      <scheme val="minor"/>
    </font>
    <font>
      <b/>
      <sz val="11"/>
      <color theme="1"/>
      <name val="Rockwell"/>
      <scheme val="minor"/>
    </font>
    <font>
      <sz val="11"/>
      <color theme="1"/>
      <name val="Rockwell"/>
      <scheme val="minor"/>
    </font>
    <font>
      <b/>
      <sz val="11"/>
      <color theme="1"/>
      <name val="Rockwell"/>
      <family val="2"/>
      <scheme val="minor"/>
    </font>
    <font>
      <i/>
      <sz val="11"/>
      <color theme="1"/>
      <name val="Rockwell"/>
      <family val="2"/>
      <scheme val="minor"/>
    </font>
    <font>
      <b/>
      <i/>
      <sz val="11"/>
      <color theme="1"/>
      <name val="Rockwell"/>
      <family val="2"/>
      <scheme val="minor"/>
    </font>
    <font>
      <b/>
      <i/>
      <sz val="12"/>
      <color theme="1"/>
      <name val="Rockwell"/>
      <family val="2"/>
      <scheme val="minor"/>
    </font>
    <font>
      <b/>
      <sz val="72"/>
      <color theme="1"/>
      <name val="Algerian"/>
      <family val="5"/>
    </font>
    <font>
      <sz val="48"/>
      <color theme="5"/>
      <name val="Rockwell"/>
      <family val="2"/>
      <scheme val="minor"/>
    </font>
    <font>
      <sz val="24"/>
      <color theme="1"/>
      <name val="Rockwell"/>
      <family val="2"/>
      <scheme val="minor"/>
    </font>
    <font>
      <b/>
      <sz val="72"/>
      <color theme="0"/>
      <name val="Algerian"/>
      <family val="5"/>
    </font>
    <font>
      <b/>
      <sz val="76"/>
      <color theme="0"/>
      <name val="Impact"/>
      <family val="2"/>
    </font>
  </fonts>
  <fills count="4">
    <fill>
      <patternFill patternType="none"/>
    </fill>
    <fill>
      <patternFill patternType="gray125"/>
    </fill>
    <fill>
      <patternFill patternType="solid">
        <fgColor rgb="FF7CEB99"/>
        <bgColor indexed="64"/>
      </patternFill>
    </fill>
    <fill>
      <patternFill patternType="solid">
        <fgColor theme="4" tint="-0.249977111117893"/>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theme="4" tint="-0.249977111117893"/>
      </left>
      <right/>
      <top style="medium">
        <color theme="4" tint="-0.249977111117893"/>
      </top>
      <bottom/>
      <diagonal/>
    </border>
    <border>
      <left/>
      <right/>
      <top style="medium">
        <color theme="4" tint="-0.249977111117893"/>
      </top>
      <bottom/>
      <diagonal/>
    </border>
    <border>
      <left/>
      <right style="medium">
        <color theme="4" tint="-0.249977111117893"/>
      </right>
      <top style="medium">
        <color theme="4" tint="-0.249977111117893"/>
      </top>
      <bottom/>
      <diagonal/>
    </border>
    <border>
      <left style="medium">
        <color theme="4" tint="-0.249977111117893"/>
      </left>
      <right/>
      <top/>
      <bottom/>
      <diagonal/>
    </border>
    <border>
      <left/>
      <right style="medium">
        <color theme="4" tint="-0.249977111117893"/>
      </right>
      <top/>
      <bottom/>
      <diagonal/>
    </border>
    <border>
      <left style="medium">
        <color theme="4" tint="-0.249977111117893"/>
      </left>
      <right/>
      <top/>
      <bottom style="medium">
        <color theme="4" tint="-0.249977111117893"/>
      </bottom>
      <diagonal/>
    </border>
    <border>
      <left/>
      <right/>
      <top/>
      <bottom style="medium">
        <color theme="4" tint="-0.249977111117893"/>
      </bottom>
      <diagonal/>
    </border>
    <border>
      <left/>
      <right style="medium">
        <color theme="4" tint="-0.249977111117893"/>
      </right>
      <top/>
      <bottom style="medium">
        <color theme="4" tint="-0.249977111117893"/>
      </bottom>
      <diagonal/>
    </border>
  </borders>
  <cellStyleXfs count="1">
    <xf numFmtId="0" fontId="0" fillId="0" borderId="0"/>
  </cellStyleXfs>
  <cellXfs count="86">
    <xf numFmtId="0" fontId="0" fillId="0" borderId="0" xfId="0"/>
    <xf numFmtId="0" fontId="2" fillId="0" borderId="0" xfId="0" applyFont="1"/>
    <xf numFmtId="14" fontId="0" fillId="0" borderId="0" xfId="0" applyNumberFormat="1"/>
    <xf numFmtId="2" fontId="0" fillId="0" borderId="0" xfId="0" applyNumberFormat="1"/>
    <xf numFmtId="0" fontId="2" fillId="0" borderId="1" xfId="0" applyFont="1" applyBorder="1" applyAlignment="1">
      <alignment horizontal="center"/>
    </xf>
    <xf numFmtId="2" fontId="2" fillId="0" borderId="1" xfId="0" applyNumberFormat="1" applyFont="1" applyBorder="1" applyAlignment="1">
      <alignment horizontal="center"/>
    </xf>
    <xf numFmtId="0" fontId="3" fillId="0" borderId="1" xfId="0" applyFont="1" applyBorder="1" applyAlignment="1">
      <alignment horizontal="center"/>
    </xf>
    <xf numFmtId="2" fontId="3" fillId="0" borderId="1" xfId="0" applyNumberFormat="1" applyFont="1" applyBorder="1" applyAlignment="1">
      <alignment horizontal="center"/>
    </xf>
    <xf numFmtId="10" fontId="3" fillId="0" borderId="1" xfId="0" applyNumberFormat="1" applyFont="1" applyBorder="1" applyAlignment="1">
      <alignment horizontal="center"/>
    </xf>
    <xf numFmtId="10" fontId="0" fillId="0" borderId="0" xfId="0" applyNumberFormat="1"/>
    <xf numFmtId="1" fontId="3" fillId="0" borderId="1" xfId="0" applyNumberFormat="1" applyFont="1" applyBorder="1" applyAlignment="1">
      <alignment horizontal="center"/>
    </xf>
    <xf numFmtId="1" fontId="0" fillId="0" borderId="0" xfId="0" applyNumberFormat="1"/>
    <xf numFmtId="14" fontId="3" fillId="0" borderId="1" xfId="0" applyNumberFormat="1" applyFont="1" applyBorder="1" applyAlignment="1">
      <alignment horizontal="center"/>
    </xf>
    <xf numFmtId="0" fontId="4" fillId="0" borderId="0" xfId="0" applyFont="1"/>
    <xf numFmtId="0" fontId="0" fillId="0" borderId="1" xfId="0" applyBorder="1"/>
    <xf numFmtId="0" fontId="3" fillId="2" borderId="1" xfId="0" applyFont="1" applyFill="1" applyBorder="1" applyAlignment="1">
      <alignment horizontal="center"/>
    </xf>
    <xf numFmtId="0" fontId="0" fillId="2" borderId="1" xfId="0" applyFill="1" applyBorder="1"/>
    <xf numFmtId="0" fontId="5" fillId="0" borderId="1" xfId="0" applyFont="1" applyBorder="1" applyAlignment="1">
      <alignment horizontal="center"/>
    </xf>
    <xf numFmtId="0" fontId="4" fillId="0" borderId="1" xfId="0" applyFont="1" applyBorder="1"/>
    <xf numFmtId="0" fontId="6" fillId="0" borderId="1" xfId="0" applyFont="1" applyBorder="1" applyAlignment="1">
      <alignment horizontal="center"/>
    </xf>
    <xf numFmtId="0" fontId="3" fillId="0" borderId="3" xfId="0" applyFont="1" applyBorder="1" applyAlignment="1">
      <alignment horizontal="center"/>
    </xf>
    <xf numFmtId="2" fontId="3" fillId="0" borderId="2" xfId="0" applyNumberFormat="1" applyFont="1" applyBorder="1" applyAlignment="1">
      <alignment horizontal="center"/>
    </xf>
    <xf numFmtId="0" fontId="4" fillId="0" borderId="4" xfId="0" applyFont="1" applyBorder="1" applyAlignment="1">
      <alignment horizontal="center"/>
    </xf>
    <xf numFmtId="0" fontId="2" fillId="0" borderId="5" xfId="0" applyFont="1" applyBorder="1" applyAlignment="1">
      <alignment horizontal="center"/>
    </xf>
    <xf numFmtId="2" fontId="2" fillId="0" borderId="5" xfId="0" applyNumberFormat="1" applyFont="1" applyBorder="1" applyAlignment="1">
      <alignment horizontal="center"/>
    </xf>
    <xf numFmtId="1" fontId="2" fillId="0" borderId="5" xfId="0" applyNumberFormat="1" applyFont="1" applyBorder="1" applyAlignment="1">
      <alignment horizontal="center"/>
    </xf>
    <xf numFmtId="10" fontId="2" fillId="0" borderId="5" xfId="0" applyNumberFormat="1" applyFont="1" applyBorder="1" applyAlignment="1">
      <alignment horizontal="center"/>
    </xf>
    <xf numFmtId="14" fontId="2" fillId="0" borderId="5" xfId="0" applyNumberFormat="1" applyFont="1" applyBorder="1" applyAlignment="1">
      <alignment horizontal="center"/>
    </xf>
    <xf numFmtId="2" fontId="2" fillId="0" borderId="6" xfId="0" applyNumberFormat="1" applyFont="1" applyBorder="1" applyAlignment="1">
      <alignment horizontal="center"/>
    </xf>
    <xf numFmtId="0" fontId="3" fillId="0" borderId="7" xfId="0" applyFont="1" applyBorder="1" applyAlignment="1">
      <alignment horizontal="center"/>
    </xf>
    <xf numFmtId="0" fontId="3" fillId="0" borderId="8" xfId="0" applyFont="1" applyBorder="1" applyAlignment="1">
      <alignment horizontal="center"/>
    </xf>
    <xf numFmtId="2" fontId="3" fillId="0" borderId="8" xfId="0" applyNumberFormat="1" applyFont="1" applyBorder="1" applyAlignment="1">
      <alignment horizontal="center"/>
    </xf>
    <xf numFmtId="1" fontId="3" fillId="0" borderId="8" xfId="0" applyNumberFormat="1" applyFont="1" applyBorder="1" applyAlignment="1">
      <alignment horizontal="center"/>
    </xf>
    <xf numFmtId="10" fontId="3" fillId="0" borderId="8" xfId="0" applyNumberFormat="1" applyFont="1" applyBorder="1" applyAlignment="1">
      <alignment horizontal="center"/>
    </xf>
    <xf numFmtId="14" fontId="3" fillId="0" borderId="8" xfId="0" applyNumberFormat="1" applyFont="1" applyBorder="1" applyAlignment="1">
      <alignment horizontal="center"/>
    </xf>
    <xf numFmtId="2" fontId="3" fillId="0" borderId="9" xfId="0" applyNumberFormat="1" applyFont="1" applyBorder="1" applyAlignment="1">
      <alignment horizontal="center"/>
    </xf>
    <xf numFmtId="0" fontId="0" fillId="0" borderId="0" xfId="0" applyAlignment="1">
      <alignment horizontal="center"/>
    </xf>
    <xf numFmtId="0" fontId="4" fillId="0" borderId="1" xfId="0" applyFont="1" applyBorder="1" applyAlignment="1">
      <alignment horizontal="center"/>
    </xf>
    <xf numFmtId="165" fontId="4" fillId="0" borderId="1" xfId="0" applyNumberFormat="1" applyFont="1" applyBorder="1"/>
    <xf numFmtId="22" fontId="0" fillId="0" borderId="1" xfId="0" applyNumberFormat="1" applyBorder="1"/>
    <xf numFmtId="0" fontId="0" fillId="0" borderId="1" xfId="0" applyBorder="1" applyAlignment="1">
      <alignment horizontal="center"/>
    </xf>
    <xf numFmtId="164" fontId="0" fillId="0" borderId="1" xfId="0" applyNumberFormat="1" applyBorder="1" applyAlignment="1">
      <alignment horizontal="center"/>
    </xf>
    <xf numFmtId="10" fontId="0" fillId="0" borderId="1" xfId="0" applyNumberFormat="1" applyBorder="1"/>
    <xf numFmtId="10" fontId="1" fillId="0" borderId="1" xfId="0" applyNumberFormat="1" applyFont="1" applyBorder="1" applyAlignment="1">
      <alignment horizontal="center"/>
    </xf>
    <xf numFmtId="10" fontId="0" fillId="0" borderId="1" xfId="0" applyNumberFormat="1" applyBorder="1" applyAlignment="1">
      <alignment horizontal="center"/>
    </xf>
    <xf numFmtId="0" fontId="0" fillId="0" borderId="0" xfId="0" pivotButton="1"/>
    <xf numFmtId="0" fontId="0" fillId="3" borderId="0" xfId="0" applyFill="1"/>
    <xf numFmtId="0" fontId="8" fillId="3" borderId="0" xfId="0" applyFont="1" applyFill="1" applyAlignment="1">
      <alignment horizontal="center" vertical="center"/>
    </xf>
    <xf numFmtId="0" fontId="10" fillId="0" borderId="13" xfId="0" applyFont="1" applyBorder="1" applyAlignment="1">
      <alignment horizontal="center"/>
    </xf>
    <xf numFmtId="0" fontId="10" fillId="0" borderId="0" xfId="0" applyFont="1" applyAlignment="1">
      <alignment horizontal="center"/>
    </xf>
    <xf numFmtId="0" fontId="10" fillId="0" borderId="14" xfId="0" applyFont="1" applyBorder="1" applyAlignment="1">
      <alignment horizontal="center"/>
    </xf>
    <xf numFmtId="0" fontId="10" fillId="0" borderId="15" xfId="0" applyFont="1" applyBorder="1" applyAlignment="1">
      <alignment horizontal="center"/>
    </xf>
    <xf numFmtId="0" fontId="10" fillId="0" borderId="16" xfId="0" applyFont="1" applyBorder="1" applyAlignment="1">
      <alignment horizontal="center"/>
    </xf>
    <xf numFmtId="0" fontId="10" fillId="0" borderId="17" xfId="0" applyFont="1" applyBorder="1" applyAlignment="1">
      <alignment horizontal="center"/>
    </xf>
    <xf numFmtId="0" fontId="0" fillId="0" borderId="0" xfId="0"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11" fillId="3" borderId="0" xfId="0" applyFont="1" applyFill="1" applyAlignment="1">
      <alignment horizontal="center" vertical="center"/>
    </xf>
    <xf numFmtId="2" fontId="9" fillId="0" borderId="10" xfId="0" applyNumberFormat="1" applyFont="1" applyBorder="1" applyAlignment="1">
      <alignment horizontal="center"/>
    </xf>
    <xf numFmtId="0" fontId="9" fillId="0" borderId="11" xfId="0" applyFont="1" applyBorder="1" applyAlignment="1">
      <alignment horizontal="center"/>
    </xf>
    <xf numFmtId="0" fontId="9" fillId="0" borderId="12" xfId="0" applyFont="1" applyBorder="1" applyAlignment="1">
      <alignment horizontal="center"/>
    </xf>
    <xf numFmtId="0" fontId="9" fillId="0" borderId="13" xfId="0" applyFont="1" applyBorder="1" applyAlignment="1">
      <alignment horizontal="center"/>
    </xf>
    <xf numFmtId="0" fontId="9" fillId="0" borderId="0" xfId="0" applyFont="1" applyAlignment="1">
      <alignment horizontal="center"/>
    </xf>
    <xf numFmtId="0" fontId="9" fillId="0" borderId="14" xfId="0" applyFont="1" applyBorder="1" applyAlignment="1">
      <alignment horizontal="center"/>
    </xf>
    <xf numFmtId="2" fontId="9" fillId="0" borderId="11" xfId="0" applyNumberFormat="1" applyFont="1" applyBorder="1" applyAlignment="1">
      <alignment horizontal="center"/>
    </xf>
    <xf numFmtId="2" fontId="9" fillId="0" borderId="12" xfId="0" applyNumberFormat="1" applyFont="1" applyBorder="1" applyAlignment="1">
      <alignment horizontal="center"/>
    </xf>
    <xf numFmtId="2" fontId="9" fillId="0" borderId="13" xfId="0" applyNumberFormat="1" applyFont="1" applyBorder="1" applyAlignment="1">
      <alignment horizontal="center"/>
    </xf>
    <xf numFmtId="2" fontId="9" fillId="0" borderId="0" xfId="0" applyNumberFormat="1" applyFont="1" applyAlignment="1">
      <alignment horizontal="center"/>
    </xf>
    <xf numFmtId="2" fontId="9" fillId="0" borderId="14" xfId="0" applyNumberFormat="1" applyFont="1" applyBorder="1" applyAlignment="1">
      <alignment horizontal="center"/>
    </xf>
    <xf numFmtId="0" fontId="9" fillId="0" borderId="10" xfId="0" applyFont="1" applyBorder="1" applyAlignment="1">
      <alignment horizontal="center"/>
    </xf>
    <xf numFmtId="10" fontId="9" fillId="0" borderId="10" xfId="0" applyNumberFormat="1" applyFont="1" applyBorder="1" applyAlignment="1">
      <alignment horizontal="center"/>
    </xf>
    <xf numFmtId="0" fontId="6" fillId="0" borderId="2" xfId="0" applyFont="1" applyBorder="1" applyAlignment="1">
      <alignment horizontal="center"/>
    </xf>
    <xf numFmtId="0" fontId="6" fillId="0" borderId="3" xfId="0" applyFont="1" applyBorder="1" applyAlignment="1">
      <alignment horizontal="center"/>
    </xf>
    <xf numFmtId="0" fontId="7" fillId="0" borderId="1" xfId="0" applyFont="1" applyBorder="1" applyAlignment="1">
      <alignment horizontal="center"/>
    </xf>
    <xf numFmtId="0" fontId="7" fillId="0" borderId="2" xfId="0" applyFont="1" applyBorder="1" applyAlignment="1">
      <alignment horizontal="center"/>
    </xf>
    <xf numFmtId="0" fontId="7" fillId="0" borderId="3" xfId="0" applyFont="1" applyBorder="1" applyAlignment="1">
      <alignment horizontal="center"/>
    </xf>
    <xf numFmtId="0" fontId="0" fillId="0" borderId="0" xfId="0" applyNumberFormat="1"/>
    <xf numFmtId="0" fontId="12" fillId="3" borderId="0" xfId="0" applyFont="1" applyFill="1" applyAlignment="1">
      <alignment horizontal="center" vertical="center"/>
    </xf>
    <xf numFmtId="10" fontId="9" fillId="0" borderId="11" xfId="0" applyNumberFormat="1" applyFont="1" applyBorder="1" applyAlignment="1">
      <alignment horizontal="center"/>
    </xf>
    <xf numFmtId="10" fontId="9" fillId="0" borderId="12" xfId="0" applyNumberFormat="1" applyFont="1" applyBorder="1" applyAlignment="1">
      <alignment horizontal="center"/>
    </xf>
    <xf numFmtId="10" fontId="9" fillId="0" borderId="13" xfId="0" applyNumberFormat="1" applyFont="1" applyBorder="1" applyAlignment="1">
      <alignment horizontal="center"/>
    </xf>
    <xf numFmtId="10" fontId="9" fillId="0" borderId="0" xfId="0" applyNumberFormat="1" applyFont="1" applyBorder="1" applyAlignment="1">
      <alignment horizontal="center"/>
    </xf>
    <xf numFmtId="10" fontId="9" fillId="0" borderId="14" xfId="0" applyNumberFormat="1" applyFont="1" applyBorder="1" applyAlignment="1">
      <alignment horizontal="center"/>
    </xf>
    <xf numFmtId="0" fontId="9" fillId="0" borderId="0" xfId="0" applyFont="1" applyBorder="1" applyAlignment="1">
      <alignment horizontal="center"/>
    </xf>
  </cellXfs>
  <cellStyles count="1">
    <cellStyle name="Normal" xfId="0" builtinId="0"/>
  </cellStyles>
  <dxfs count="24">
    <dxf>
      <fill>
        <patternFill>
          <bgColor rgb="FFFFFF00"/>
        </patternFill>
      </fill>
    </dxf>
    <dxf>
      <font>
        <color rgb="FF00B050"/>
      </font>
    </dxf>
    <dxf>
      <font>
        <color rgb="FFFF0000"/>
      </font>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Rockwell"/>
        <scheme val="minor"/>
      </font>
      <numFmt numFmtId="2" formatCode="0.00"/>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Rockwell"/>
        <scheme val="minor"/>
      </font>
      <numFmt numFmtId="19" formatCode="d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Rockwell"/>
        <scheme val="minor"/>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Rockwell"/>
        <scheme val="minor"/>
      </font>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Rockwell"/>
        <scheme val="minor"/>
      </font>
      <numFmt numFmtId="2"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Rockwell"/>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Rockwell"/>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Rockwell"/>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Rockwell"/>
        <scheme val="minor"/>
      </font>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Rockwell"/>
        <scheme val="minor"/>
      </font>
      <alignment horizontal="center" vertical="bottom" textRotation="0" wrapText="0" indent="0" justifyLastLine="0" shrinkToFit="0" readingOrder="0"/>
    </dxf>
    <dxf>
      <border outline="0">
        <bottom style="thin">
          <color indexed="64"/>
        </bottom>
      </border>
    </dxf>
    <dxf>
      <font>
        <b/>
        <sz val="11"/>
        <color theme="1"/>
      </font>
    </dxf>
    <dxf>
      <font>
        <b/>
        <i val="0"/>
        <sz val="14"/>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color theme="1"/>
      </font>
      <border>
        <bottom style="thin">
          <color theme="4"/>
        </bottom>
        <vertical/>
        <horizontal/>
      </border>
    </dxf>
    <dxf>
      <font>
        <sz val="28"/>
        <color theme="1"/>
      </font>
      <border>
        <left style="thin">
          <color theme="4"/>
        </left>
        <right style="thin">
          <color theme="4"/>
        </right>
        <top style="thin">
          <color theme="4"/>
        </top>
        <bottom style="thin">
          <color theme="4"/>
        </bottom>
        <vertical/>
        <horizontal/>
      </border>
    </dxf>
    <dxf>
      <font>
        <b/>
        <sz val="11"/>
        <color theme="1"/>
      </font>
    </dxf>
    <dxf>
      <font>
        <sz val="26"/>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3" defaultTableStyle="TableStyleMedium2" defaultPivotStyle="PivotStyleLight16">
    <tableStyle name="my Timeline" pivot="0" table="0" count="8" xr9:uid="{C72A1614-2204-485E-B088-4895FA8DA0BE}">
      <tableStyleElement type="wholeTable" dxfId="23"/>
      <tableStyleElement type="headerRow" dxfId="22"/>
    </tableStyle>
    <tableStyle name="Mystyle" pivot="0" table="0" count="10" xr9:uid="{C246D5C5-7A18-4136-BDEC-D3A0A2AD5D52}">
      <tableStyleElement type="wholeTable" dxfId="21"/>
      <tableStyleElement type="headerRow" dxfId="20"/>
    </tableStyle>
    <tableStyle name="Timeline Style 1" pivot="0" table="0" count="8" xr9:uid="{1BEA4873-85DB-44E3-A90D-25B27D363FDF}">
      <tableStyleElement type="wholeTable" dxfId="19"/>
      <tableStyleElement type="headerRow" dxfId="18"/>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2">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my Timeline">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[Project.2_Analyzer.xlsx]Task_8!monthly sales trend</c:name>
    <c:fmtId val="14"/>
  </c:pivotSource>
  <c:chart>
    <c:title>
      <c:tx>
        <c:rich>
          <a:bodyPr rot="0" spcFirstLastPara="1" vertOverflow="ellipsis" vert="horz" wrap="square" anchor="ctr" anchorCtr="1"/>
          <a:lstStyle/>
          <a:p>
            <a:pPr>
              <a:defRPr sz="2400" b="0" i="0" u="none" strike="noStrike" kern="1200" spc="0" baseline="0">
                <a:solidFill>
                  <a:schemeClr val="dk1"/>
                </a:solidFill>
                <a:latin typeface="+mn-lt"/>
                <a:ea typeface="+mn-ea"/>
                <a:cs typeface="+mn-cs"/>
              </a:defRPr>
            </a:pPr>
            <a:r>
              <a:rPr lang="en-US"/>
              <a:t>Monthly Sales Trend</a:t>
            </a:r>
          </a:p>
        </c:rich>
      </c:tx>
      <c:layout>
        <c:manualLayout>
          <c:xMode val="edge"/>
          <c:yMode val="edge"/>
          <c:x val="0.35168146565334346"/>
          <c:y val="3.1212203872660101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Task_8!$D$37</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multiLvlStrRef>
              <c:f>Task_8!$A$38:$C$53</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Task_8!$D$38:$D$53</c:f>
              <c:numCache>
                <c:formatCode>General</c:formatCode>
                <c:ptCount val="13"/>
                <c:pt idx="0">
                  <c:v>19029.96</c:v>
                </c:pt>
                <c:pt idx="1">
                  <c:v>18507.339999999997</c:v>
                </c:pt>
                <c:pt idx="2">
                  <c:v>20187.509999999998</c:v>
                </c:pt>
                <c:pt idx="3">
                  <c:v>11609.039999999999</c:v>
                </c:pt>
                <c:pt idx="4">
                  <c:v>10091.699999999999</c:v>
                </c:pt>
                <c:pt idx="5">
                  <c:v>20533.499999999996</c:v>
                </c:pt>
                <c:pt idx="6">
                  <c:v>14215.240000000002</c:v>
                </c:pt>
                <c:pt idx="7">
                  <c:v>20135.030000000002</c:v>
                </c:pt>
                <c:pt idx="8">
                  <c:v>11120.04</c:v>
                </c:pt>
                <c:pt idx="9">
                  <c:v>14914.650000000001</c:v>
                </c:pt>
                <c:pt idx="10">
                  <c:v>14006.359999999999</c:v>
                </c:pt>
                <c:pt idx="11">
                  <c:v>17655.219999999998</c:v>
                </c:pt>
                <c:pt idx="12">
                  <c:v>3212.17</c:v>
                </c:pt>
              </c:numCache>
            </c:numRef>
          </c:val>
          <c:smooth val="0"/>
          <c:extLst>
            <c:ext xmlns:c16="http://schemas.microsoft.com/office/drawing/2014/chart" uri="{C3380CC4-5D6E-409C-BE32-E72D297353CC}">
              <c16:uniqueId val="{00000001-4F50-44FD-B43E-0E320A8A874F}"/>
            </c:ext>
          </c:extLst>
        </c:ser>
        <c:dLbls>
          <c:showLegendKey val="0"/>
          <c:showVal val="0"/>
          <c:showCatName val="0"/>
          <c:showSerName val="0"/>
          <c:showPercent val="0"/>
          <c:showBubbleSize val="0"/>
        </c:dLbls>
        <c:smooth val="0"/>
        <c:axId val="170288191"/>
        <c:axId val="170304991"/>
      </c:lineChart>
      <c:catAx>
        <c:axId val="17028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dk1"/>
                </a:solidFill>
                <a:latin typeface="+mn-lt"/>
                <a:ea typeface="+mn-ea"/>
                <a:cs typeface="+mn-cs"/>
              </a:defRPr>
            </a:pPr>
            <a:endParaRPr lang="en-US"/>
          </a:p>
        </c:txPr>
        <c:crossAx val="170304991"/>
        <c:crosses val="autoZero"/>
        <c:auto val="1"/>
        <c:lblAlgn val="ctr"/>
        <c:lblOffset val="100"/>
        <c:noMultiLvlLbl val="0"/>
      </c:catAx>
      <c:valAx>
        <c:axId val="170304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dk1"/>
                </a:solidFill>
                <a:latin typeface="+mn-lt"/>
                <a:ea typeface="+mn-ea"/>
                <a:cs typeface="+mn-cs"/>
              </a:defRPr>
            </a:pPr>
            <a:endParaRPr lang="en-US"/>
          </a:p>
        </c:txPr>
        <c:crossAx val="170288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rnd" cmpd="sng" algn="ctr">
      <a:solidFill>
        <a:schemeClr val="accent1"/>
      </a:solidFill>
      <a:prstDash val="solid"/>
      <a:round/>
    </a:ln>
    <a:effectLst/>
  </c:spPr>
  <c:txPr>
    <a:bodyPr/>
    <a:lstStyle/>
    <a:p>
      <a:pPr>
        <a:defRPr sz="200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[Project.2_Analyzer.xlsx]Task_8!category vs sales</c:name>
    <c:fmtId val="14"/>
  </c:pivotSource>
  <c:chart>
    <c:title>
      <c:tx>
        <c:rich>
          <a:bodyPr rot="0" spcFirstLastPara="1" vertOverflow="ellipsis" vert="horz" wrap="square" anchor="ctr" anchorCtr="1"/>
          <a:lstStyle/>
          <a:p>
            <a:pPr>
              <a:defRPr sz="2400" b="0" i="0" u="none" strike="noStrike" kern="1200" spc="0" baseline="0">
                <a:solidFill>
                  <a:schemeClr val="dk1"/>
                </a:solidFill>
                <a:latin typeface="+mn-lt"/>
                <a:ea typeface="+mn-ea"/>
                <a:cs typeface="+mn-cs"/>
              </a:defRPr>
            </a:pPr>
            <a:r>
              <a:rPr lang="en-IN"/>
              <a:t>Product Categories vs Sales</a:t>
            </a:r>
          </a:p>
        </c:rich>
      </c:tx>
      <c:layout>
        <c:manualLayout>
          <c:xMode val="edge"/>
          <c:yMode val="edge"/>
          <c:x val="0.30361105505443903"/>
          <c:y val="4.1998113724424579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hade val="50000"/>
            </a:schemeClr>
          </a:solidFill>
          <a:ln w="19050">
            <a:solidFill>
              <a:schemeClr val="lt1"/>
            </a:solidFill>
          </a:ln>
          <a:effectLst/>
        </c:spPr>
        <c:dLbl>
          <c:idx val="0"/>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509328102951302"/>
                  <c:h val="8.8539822672031213E-2"/>
                </c:manualLayout>
              </c15:layout>
            </c:ext>
          </c:extLst>
        </c:dLbl>
      </c:pivotFmt>
      <c:pivotFmt>
        <c:idx val="14"/>
        <c:spPr>
          <a:solidFill>
            <a:schemeClr val="accent1">
              <a:shade val="70000"/>
            </a:schemeClr>
          </a:solidFill>
          <a:ln w="19050">
            <a:solidFill>
              <a:schemeClr val="lt1"/>
            </a:solidFill>
          </a:ln>
          <a:effectLst/>
        </c:spPr>
        <c:dLbl>
          <c:idx val="0"/>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425397144895377"/>
                  <c:h val="9.2836427085861886E-2"/>
                </c:manualLayout>
              </c15:layout>
            </c:ext>
          </c:extLst>
        </c:dLbl>
      </c:pivotFmt>
      <c:pivotFmt>
        <c:idx val="15"/>
        <c:spPr>
          <a:solidFill>
            <a:schemeClr val="accent1">
              <a:shade val="90000"/>
            </a:schemeClr>
          </a:solidFill>
          <a:ln w="19050">
            <a:solidFill>
              <a:schemeClr val="lt1"/>
            </a:solidFill>
          </a:ln>
          <a:effectLst/>
        </c:spPr>
        <c:dLbl>
          <c:idx val="0"/>
          <c:layout>
            <c:manualLayout>
              <c:x val="-4.6102505423592226E-2"/>
              <c:y val="-3.6521137517560837E-2"/>
            </c:manualLayout>
          </c:layout>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387544846107172"/>
                  <c:h val="8.639152046511589E-2"/>
                </c:manualLayout>
              </c15:layout>
            </c:ext>
          </c:extLst>
        </c:dLbl>
      </c:pivotFmt>
      <c:pivotFmt>
        <c:idx val="16"/>
        <c:spPr>
          <a:solidFill>
            <a:schemeClr val="accent1"/>
          </a:solidFill>
          <a:ln w="19050">
            <a:solidFill>
              <a:schemeClr val="lt1"/>
            </a:solidFill>
          </a:ln>
          <a:effectLst/>
        </c:spPr>
        <c:dLbl>
          <c:idx val="0"/>
          <c:layout>
            <c:manualLayout>
              <c:x val="3.6250985590469903E-3"/>
              <c:y val="8.3114524506281373E-2"/>
            </c:manualLayout>
          </c:layout>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057819229615197"/>
                  <c:h val="8.8539822672031213E-2"/>
                </c:manualLayout>
              </c15:layout>
            </c:ext>
          </c:extLst>
        </c:dLbl>
      </c:pivotFmt>
      <c:pivotFmt>
        <c:idx val="17"/>
        <c:spPr>
          <a:solidFill>
            <a:schemeClr val="accent1">
              <a:tint val="70000"/>
            </a:schemeClr>
          </a:solidFill>
          <a:ln w="19050">
            <a:solidFill>
              <a:schemeClr val="lt1"/>
            </a:solidFill>
          </a:ln>
          <a:effectLst/>
        </c:spPr>
        <c:dLbl>
          <c:idx val="0"/>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175595706390106"/>
                  <c:h val="8.639152046511589E-2"/>
                </c:manualLayout>
              </c15:layout>
            </c:ext>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s>
    <c:plotArea>
      <c:layout>
        <c:manualLayout>
          <c:layoutTarget val="inner"/>
          <c:xMode val="edge"/>
          <c:yMode val="edge"/>
          <c:x val="8.4804785295651441E-2"/>
          <c:y val="0.20739749275778577"/>
          <c:w val="0.67009324373272927"/>
          <c:h val="0.64917339024114162"/>
        </c:manualLayout>
      </c:layout>
      <c:pieChart>
        <c:varyColors val="1"/>
        <c:ser>
          <c:idx val="0"/>
          <c:order val="0"/>
          <c:tx>
            <c:strRef>
              <c:f>Task_8!$B$64</c:f>
              <c:strCache>
                <c:ptCount val="1"/>
                <c:pt idx="0">
                  <c:v>Total</c:v>
                </c:pt>
              </c:strCache>
            </c:strRef>
          </c:tx>
          <c:dPt>
            <c:idx val="0"/>
            <c:bubble3D val="0"/>
            <c:spPr>
              <a:solidFill>
                <a:schemeClr val="accent1">
                  <a:shade val="50000"/>
                </a:schemeClr>
              </a:solidFill>
              <a:ln w="19050">
                <a:solidFill>
                  <a:schemeClr val="lt1"/>
                </a:solidFill>
              </a:ln>
              <a:effectLst/>
            </c:spPr>
            <c:extLst>
              <c:ext xmlns:c16="http://schemas.microsoft.com/office/drawing/2014/chart" uri="{C3380CC4-5D6E-409C-BE32-E72D297353CC}">
                <c16:uniqueId val="{00000001-B5E1-4664-AC4C-0DB92C5EF670}"/>
              </c:ext>
            </c:extLst>
          </c:dPt>
          <c:dPt>
            <c:idx val="1"/>
            <c:bubble3D val="0"/>
            <c:spPr>
              <a:solidFill>
                <a:schemeClr val="accent1">
                  <a:shade val="70000"/>
                </a:schemeClr>
              </a:solidFill>
              <a:ln w="19050">
                <a:solidFill>
                  <a:schemeClr val="lt1"/>
                </a:solidFill>
              </a:ln>
              <a:effectLst/>
            </c:spPr>
            <c:extLst>
              <c:ext xmlns:c16="http://schemas.microsoft.com/office/drawing/2014/chart" uri="{C3380CC4-5D6E-409C-BE32-E72D297353CC}">
                <c16:uniqueId val="{00000003-B5E1-4664-AC4C-0DB92C5EF670}"/>
              </c:ext>
            </c:extLst>
          </c:dPt>
          <c:dPt>
            <c:idx val="2"/>
            <c:bubble3D val="0"/>
            <c:spPr>
              <a:solidFill>
                <a:schemeClr val="accent1">
                  <a:shade val="90000"/>
                </a:schemeClr>
              </a:solidFill>
              <a:ln w="19050">
                <a:solidFill>
                  <a:schemeClr val="lt1"/>
                </a:solidFill>
              </a:ln>
              <a:effectLst/>
            </c:spPr>
            <c:extLst>
              <c:ext xmlns:c16="http://schemas.microsoft.com/office/drawing/2014/chart" uri="{C3380CC4-5D6E-409C-BE32-E72D297353CC}">
                <c16:uniqueId val="{00000005-B5E1-4664-AC4C-0DB92C5EF670}"/>
              </c:ext>
            </c:extLst>
          </c:dPt>
          <c:dPt>
            <c:idx val="3"/>
            <c:bubble3D val="0"/>
            <c:spPr>
              <a:solidFill>
                <a:schemeClr val="accent1">
                  <a:tint val="90000"/>
                </a:schemeClr>
              </a:solidFill>
              <a:ln w="19050">
                <a:solidFill>
                  <a:schemeClr val="lt1"/>
                </a:solidFill>
              </a:ln>
              <a:effectLst/>
            </c:spPr>
            <c:extLst>
              <c:ext xmlns:c16="http://schemas.microsoft.com/office/drawing/2014/chart" uri="{C3380CC4-5D6E-409C-BE32-E72D297353CC}">
                <c16:uniqueId val="{00000007-B5E1-4664-AC4C-0DB92C5EF670}"/>
              </c:ext>
            </c:extLst>
          </c:dPt>
          <c:dPt>
            <c:idx val="4"/>
            <c:bubble3D val="0"/>
            <c:spPr>
              <a:solidFill>
                <a:schemeClr val="accent1">
                  <a:tint val="70000"/>
                </a:schemeClr>
              </a:solidFill>
              <a:ln w="19050">
                <a:solidFill>
                  <a:schemeClr val="lt1"/>
                </a:solidFill>
              </a:ln>
              <a:effectLst/>
            </c:spPr>
            <c:extLst>
              <c:ext xmlns:c16="http://schemas.microsoft.com/office/drawing/2014/chart" uri="{C3380CC4-5D6E-409C-BE32-E72D297353CC}">
                <c16:uniqueId val="{00000009-B5E1-4664-AC4C-0DB92C5EF670}"/>
              </c:ext>
            </c:extLst>
          </c:dPt>
          <c:dPt>
            <c:idx val="5"/>
            <c:bubble3D val="0"/>
            <c:spPr>
              <a:solidFill>
                <a:schemeClr val="accent1">
                  <a:tint val="50000"/>
                </a:schemeClr>
              </a:solidFill>
              <a:ln w="19050">
                <a:solidFill>
                  <a:schemeClr val="lt1"/>
                </a:solidFill>
              </a:ln>
              <a:effectLst/>
            </c:spPr>
            <c:extLst>
              <c:ext xmlns:c16="http://schemas.microsoft.com/office/drawing/2014/chart" uri="{C3380CC4-5D6E-409C-BE32-E72D297353CC}">
                <c16:uniqueId val="{0000000B-0816-430C-B2BA-CF8D2E9F7870}"/>
              </c:ext>
            </c:extLst>
          </c:dPt>
          <c:dLbls>
            <c:dLbl>
              <c:idx val="0"/>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509328102951302"/>
                      <c:h val="8.8539822672031213E-2"/>
                    </c:manualLayout>
                  </c15:layout>
                </c:ext>
                <c:ext xmlns:c16="http://schemas.microsoft.com/office/drawing/2014/chart" uri="{C3380CC4-5D6E-409C-BE32-E72D297353CC}">
                  <c16:uniqueId val="{00000001-B5E1-4664-AC4C-0DB92C5EF670}"/>
                </c:ext>
              </c:extLst>
            </c:dLbl>
            <c:dLbl>
              <c:idx val="1"/>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425397144895377"/>
                      <c:h val="9.2836427085861886E-2"/>
                    </c:manualLayout>
                  </c15:layout>
                </c:ext>
                <c:ext xmlns:c16="http://schemas.microsoft.com/office/drawing/2014/chart" uri="{C3380CC4-5D6E-409C-BE32-E72D297353CC}">
                  <c16:uniqueId val="{00000003-B5E1-4664-AC4C-0DB92C5EF670}"/>
                </c:ext>
              </c:extLst>
            </c:dLbl>
            <c:dLbl>
              <c:idx val="2"/>
              <c:layout>
                <c:manualLayout>
                  <c:x val="-4.6102505423592226E-2"/>
                  <c:y val="-3.6521137517560837E-2"/>
                </c:manualLayout>
              </c:layout>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387544846107172"/>
                      <c:h val="8.639152046511589E-2"/>
                    </c:manualLayout>
                  </c15:layout>
                </c:ext>
                <c:ext xmlns:c16="http://schemas.microsoft.com/office/drawing/2014/chart" uri="{C3380CC4-5D6E-409C-BE32-E72D297353CC}">
                  <c16:uniqueId val="{00000005-B5E1-4664-AC4C-0DB92C5EF670}"/>
                </c:ext>
              </c:extLst>
            </c:dLbl>
            <c:dLbl>
              <c:idx val="3"/>
              <c:layout>
                <c:manualLayout>
                  <c:x val="3.6250985590469903E-3"/>
                  <c:y val="8.3114524506281373E-2"/>
                </c:manualLayout>
              </c:layout>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057819229615197"/>
                      <c:h val="8.8539822672031213E-2"/>
                    </c:manualLayout>
                  </c15:layout>
                </c:ext>
                <c:ext xmlns:c16="http://schemas.microsoft.com/office/drawing/2014/chart" uri="{C3380CC4-5D6E-409C-BE32-E72D297353CC}">
                  <c16:uniqueId val="{00000007-B5E1-4664-AC4C-0DB92C5EF670}"/>
                </c:ext>
              </c:extLst>
            </c:dLbl>
            <c:dLbl>
              <c:idx val="4"/>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175595706390106"/>
                      <c:h val="8.639152046511589E-2"/>
                    </c:manualLayout>
                  </c15:layout>
                </c:ext>
                <c:ext xmlns:c16="http://schemas.microsoft.com/office/drawing/2014/chart" uri="{C3380CC4-5D6E-409C-BE32-E72D297353CC}">
                  <c16:uniqueId val="{00000009-B5E1-4664-AC4C-0DB92C5EF670}"/>
                </c:ext>
              </c:extLst>
            </c:dLbl>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Task_8!$A$65:$A$71</c:f>
              <c:strCache>
                <c:ptCount val="6"/>
                <c:pt idx="0">
                  <c:v>Books</c:v>
                </c:pt>
                <c:pt idx="1">
                  <c:v>Clothing</c:v>
                </c:pt>
                <c:pt idx="2">
                  <c:v>Electronics</c:v>
                </c:pt>
                <c:pt idx="3">
                  <c:v>Furniture</c:v>
                </c:pt>
                <c:pt idx="4">
                  <c:v>Office Supplies</c:v>
                </c:pt>
                <c:pt idx="5">
                  <c:v>(blank)</c:v>
                </c:pt>
              </c:strCache>
            </c:strRef>
          </c:cat>
          <c:val>
            <c:numRef>
              <c:f>Task_8!$B$65:$B$71</c:f>
              <c:numCache>
                <c:formatCode>General</c:formatCode>
                <c:ptCount val="6"/>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A-B5E1-4664-AC4C-0DB92C5EF670}"/>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rnd" cmpd="sng" algn="ctr">
      <a:solidFill>
        <a:schemeClr val="accent1"/>
      </a:solidFill>
      <a:prstDash val="solid"/>
      <a:round/>
    </a:ln>
    <a:effectLst/>
  </c:spPr>
  <c:txPr>
    <a:bodyPr/>
    <a:lstStyle/>
    <a:p>
      <a:pPr>
        <a:defRPr sz="200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[Project.2_Analyzer.xlsx]Task_8!Bar chart region vs profit</c:name>
    <c:fmtId val="10"/>
  </c:pivotSource>
  <c:chart>
    <c:title>
      <c:tx>
        <c:rich>
          <a:bodyPr rot="0" spcFirstLastPara="1" vertOverflow="ellipsis" vert="horz" wrap="square" anchor="ctr" anchorCtr="1"/>
          <a:lstStyle/>
          <a:p>
            <a:pPr>
              <a:defRPr sz="2880" b="0" i="0" u="none" strike="noStrike" kern="1200" spc="0" baseline="0">
                <a:solidFill>
                  <a:schemeClr val="dk1"/>
                </a:solidFill>
                <a:latin typeface="+mn-lt"/>
                <a:ea typeface="+mn-ea"/>
                <a:cs typeface="+mn-cs"/>
              </a:defRPr>
            </a:pPr>
            <a:r>
              <a:rPr lang="en-US"/>
              <a:t>Region vs Profit</a:t>
            </a:r>
          </a:p>
        </c:rich>
      </c:tx>
      <c:layout>
        <c:manualLayout>
          <c:xMode val="edge"/>
          <c:yMode val="edge"/>
          <c:x val="0.3802756990566688"/>
          <c:y val="3.2586418551214545E-2"/>
        </c:manualLayout>
      </c:layout>
      <c:overlay val="0"/>
      <c:spPr>
        <a:noFill/>
        <a:ln>
          <a:noFill/>
        </a:ln>
        <a:effectLst/>
      </c:spPr>
      <c:txPr>
        <a:bodyPr rot="0" spcFirstLastPara="1" vertOverflow="ellipsis" vert="horz" wrap="square" anchor="ctr" anchorCtr="1"/>
        <a:lstStyle/>
        <a:p>
          <a:pPr>
            <a:defRPr sz="288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24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Task_8!$B$97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24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Task_8!$A$98:$A$104</c:f>
              <c:strCache>
                <c:ptCount val="6"/>
                <c:pt idx="0">
                  <c:v>Central</c:v>
                </c:pt>
                <c:pt idx="1">
                  <c:v>East</c:v>
                </c:pt>
                <c:pt idx="2">
                  <c:v>North</c:v>
                </c:pt>
                <c:pt idx="3">
                  <c:v>South</c:v>
                </c:pt>
                <c:pt idx="4">
                  <c:v>West</c:v>
                </c:pt>
                <c:pt idx="5">
                  <c:v>(blank)</c:v>
                </c:pt>
              </c:strCache>
            </c:strRef>
          </c:cat>
          <c:val>
            <c:numRef>
              <c:f>Task_8!$B$98:$B$104</c:f>
              <c:numCache>
                <c:formatCode>General</c:formatCode>
                <c:ptCount val="6"/>
                <c:pt idx="0">
                  <c:v>16068.4</c:v>
                </c:pt>
                <c:pt idx="1">
                  <c:v>11638.589999999997</c:v>
                </c:pt>
                <c:pt idx="2">
                  <c:v>11902.279999999997</c:v>
                </c:pt>
                <c:pt idx="3">
                  <c:v>13691.910000000003</c:v>
                </c:pt>
                <c:pt idx="4">
                  <c:v>14985.830000000002</c:v>
                </c:pt>
              </c:numCache>
            </c:numRef>
          </c:val>
          <c:extLst>
            <c:ext xmlns:c16="http://schemas.microsoft.com/office/drawing/2014/chart" uri="{C3380CC4-5D6E-409C-BE32-E72D297353CC}">
              <c16:uniqueId val="{00000000-C1CE-43C7-8C8E-B5719402A630}"/>
            </c:ext>
          </c:extLst>
        </c:ser>
        <c:dLbls>
          <c:dLblPos val="outEnd"/>
          <c:showLegendKey val="0"/>
          <c:showVal val="1"/>
          <c:showCatName val="0"/>
          <c:showSerName val="0"/>
          <c:showPercent val="0"/>
          <c:showBubbleSize val="0"/>
        </c:dLbls>
        <c:gapWidth val="219"/>
        <c:overlap val="-27"/>
        <c:axId val="170315071"/>
        <c:axId val="170315551"/>
      </c:barChart>
      <c:catAx>
        <c:axId val="1703150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0" i="0" u="none" strike="noStrike" kern="1200" baseline="0">
                <a:solidFill>
                  <a:schemeClr val="dk1"/>
                </a:solidFill>
                <a:latin typeface="+mn-lt"/>
                <a:ea typeface="+mn-ea"/>
                <a:cs typeface="+mn-cs"/>
              </a:defRPr>
            </a:pPr>
            <a:endParaRPr lang="en-US"/>
          </a:p>
        </c:txPr>
        <c:crossAx val="170315551"/>
        <c:crosses val="autoZero"/>
        <c:auto val="1"/>
        <c:lblAlgn val="ctr"/>
        <c:lblOffset val="100"/>
        <c:noMultiLvlLbl val="0"/>
      </c:catAx>
      <c:valAx>
        <c:axId val="170315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2400" b="0" i="0" u="none" strike="noStrike" kern="1200" baseline="0">
                <a:solidFill>
                  <a:schemeClr val="dk1"/>
                </a:solidFill>
                <a:latin typeface="+mn-lt"/>
                <a:ea typeface="+mn-ea"/>
                <a:cs typeface="+mn-cs"/>
              </a:defRPr>
            </a:pPr>
            <a:endParaRPr lang="en-US"/>
          </a:p>
        </c:txPr>
        <c:crossAx val="170315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rnd" cmpd="sng" algn="ctr">
      <a:solidFill>
        <a:schemeClr val="accent1"/>
      </a:solidFill>
      <a:prstDash val="solid"/>
      <a:round/>
    </a:ln>
    <a:effectLst/>
  </c:spPr>
  <c:txPr>
    <a:bodyPr/>
    <a:lstStyle/>
    <a:p>
      <a:pPr>
        <a:defRPr sz="240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[Project.2_Analyzer.xlsx]Task_8!region vs category vs sales</c:name>
    <c:fmtId val="57"/>
  </c:pivotSource>
  <c:chart>
    <c:title>
      <c:tx>
        <c:rich>
          <a:bodyPr rot="0" spcFirstLastPara="1" vertOverflow="ellipsis" vert="horz" wrap="square" anchor="ctr" anchorCtr="1"/>
          <a:lstStyle/>
          <a:p>
            <a:pPr>
              <a:defRPr sz="2400" b="0" i="0" u="none" strike="noStrike" kern="1200" spc="0" baseline="0">
                <a:solidFill>
                  <a:schemeClr val="dk1"/>
                </a:solidFill>
                <a:latin typeface="+mn-lt"/>
                <a:ea typeface="+mn-ea"/>
                <a:cs typeface="+mn-cs"/>
              </a:defRPr>
            </a:pPr>
            <a:r>
              <a:rPr lang="en-US"/>
              <a:t>Region</a:t>
            </a:r>
            <a:r>
              <a:rPr lang="en-US" baseline="0"/>
              <a:t> vs Product Category</a:t>
            </a:r>
            <a:r>
              <a:rPr lang="en-US"/>
              <a:t>l Sales</a:t>
            </a:r>
          </a:p>
        </c:rich>
      </c:tx>
      <c:layout>
        <c:manualLayout>
          <c:xMode val="edge"/>
          <c:yMode val="edge"/>
          <c:x val="0.30253766456203945"/>
          <c:y val="2.2035677975988755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Task_8!$C$1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20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Task_8!$A$2:$B$33</c:f>
              <c:multiLvlStrCache>
                <c:ptCount val="26"/>
                <c:lvl>
                  <c:pt idx="0">
                    <c:v>Books</c:v>
                  </c:pt>
                  <c:pt idx="1">
                    <c:v>Clothing</c:v>
                  </c:pt>
                  <c:pt idx="2">
                    <c:v>Electronics</c:v>
                  </c:pt>
                  <c:pt idx="3">
                    <c:v>Furniture</c:v>
                  </c:pt>
                  <c:pt idx="4">
                    <c:v>Office Supplies</c:v>
                  </c:pt>
                  <c:pt idx="5">
                    <c:v>Books</c:v>
                  </c:pt>
                  <c:pt idx="6">
                    <c:v>Clothing</c:v>
                  </c:pt>
                  <c:pt idx="7">
                    <c:v>Electronics</c:v>
                  </c:pt>
                  <c:pt idx="8">
                    <c:v>Furniture</c:v>
                  </c:pt>
                  <c:pt idx="9">
                    <c:v>Office Supplies</c:v>
                  </c:pt>
                  <c:pt idx="10">
                    <c:v>Books</c:v>
                  </c:pt>
                  <c:pt idx="11">
                    <c:v>Clothing</c:v>
                  </c:pt>
                  <c:pt idx="12">
                    <c:v>Electronics</c:v>
                  </c:pt>
                  <c:pt idx="13">
                    <c:v>Furniture</c:v>
                  </c:pt>
                  <c:pt idx="14">
                    <c:v>Office Supplies</c:v>
                  </c:pt>
                  <c:pt idx="15">
                    <c:v>Books</c:v>
                  </c:pt>
                  <c:pt idx="16">
                    <c:v>Clothing</c:v>
                  </c:pt>
                  <c:pt idx="17">
                    <c:v>Electronics</c:v>
                  </c:pt>
                  <c:pt idx="18">
                    <c:v>Furniture</c:v>
                  </c:pt>
                  <c:pt idx="19">
                    <c:v>Office Supplies</c:v>
                  </c:pt>
                  <c:pt idx="20">
                    <c:v>Books</c:v>
                  </c:pt>
                  <c:pt idx="21">
                    <c:v>Clothing</c:v>
                  </c:pt>
                  <c:pt idx="22">
                    <c:v>Electronics</c:v>
                  </c:pt>
                  <c:pt idx="23">
                    <c:v>Furniture</c:v>
                  </c:pt>
                  <c:pt idx="24">
                    <c:v>Office Supplies</c:v>
                  </c:pt>
                </c:lvl>
                <c:lvl>
                  <c:pt idx="0">
                    <c:v>Central</c:v>
                  </c:pt>
                  <c:pt idx="5">
                    <c:v>East</c:v>
                  </c:pt>
                  <c:pt idx="10">
                    <c:v>North</c:v>
                  </c:pt>
                  <c:pt idx="15">
                    <c:v>South</c:v>
                  </c:pt>
                  <c:pt idx="20">
                    <c:v>West</c:v>
                  </c:pt>
                  <c:pt idx="25">
                    <c:v>(blank)</c:v>
                  </c:pt>
                </c:lvl>
              </c:multiLvlStrCache>
            </c:multiLvlStrRef>
          </c:cat>
          <c:val>
            <c:numRef>
              <c:f>Task_8!$C$2:$C$33</c:f>
              <c:numCache>
                <c:formatCode>0.00</c:formatCode>
                <c:ptCount val="26"/>
                <c:pt idx="0">
                  <c:v>11297.150000000001</c:v>
                </c:pt>
                <c:pt idx="1">
                  <c:v>12200.26</c:v>
                </c:pt>
                <c:pt idx="2">
                  <c:v>6621.24</c:v>
                </c:pt>
                <c:pt idx="3">
                  <c:v>4876.96</c:v>
                </c:pt>
                <c:pt idx="4">
                  <c:v>8472.7199999999993</c:v>
                </c:pt>
                <c:pt idx="5">
                  <c:v>11389.090000000002</c:v>
                </c:pt>
                <c:pt idx="6">
                  <c:v>2401.4499999999998</c:v>
                </c:pt>
                <c:pt idx="7">
                  <c:v>2869.54</c:v>
                </c:pt>
                <c:pt idx="8">
                  <c:v>7592.3399999999992</c:v>
                </c:pt>
                <c:pt idx="9">
                  <c:v>8189.2200000000012</c:v>
                </c:pt>
                <c:pt idx="10">
                  <c:v>8037.0100000000011</c:v>
                </c:pt>
                <c:pt idx="11">
                  <c:v>8422.82</c:v>
                </c:pt>
                <c:pt idx="12">
                  <c:v>8191.7099999999991</c:v>
                </c:pt>
                <c:pt idx="13">
                  <c:v>6978.08</c:v>
                </c:pt>
                <c:pt idx="14">
                  <c:v>3345.8</c:v>
                </c:pt>
                <c:pt idx="15">
                  <c:v>9588.0400000000009</c:v>
                </c:pt>
                <c:pt idx="16">
                  <c:v>8393.630000000001</c:v>
                </c:pt>
                <c:pt idx="17">
                  <c:v>11989.070000000003</c:v>
                </c:pt>
                <c:pt idx="18">
                  <c:v>7982.73</c:v>
                </c:pt>
                <c:pt idx="19">
                  <c:v>2295.3199999999997</c:v>
                </c:pt>
                <c:pt idx="20">
                  <c:v>6691.17</c:v>
                </c:pt>
                <c:pt idx="21">
                  <c:v>10509.429999999998</c:v>
                </c:pt>
                <c:pt idx="22">
                  <c:v>11372.44</c:v>
                </c:pt>
                <c:pt idx="23">
                  <c:v>9182.7800000000007</c:v>
                </c:pt>
                <c:pt idx="24">
                  <c:v>6327.76</c:v>
                </c:pt>
              </c:numCache>
            </c:numRef>
          </c:val>
          <c:extLst>
            <c:ext xmlns:c16="http://schemas.microsoft.com/office/drawing/2014/chart" uri="{C3380CC4-5D6E-409C-BE32-E72D297353CC}">
              <c16:uniqueId val="{00000000-0644-4FE6-9875-021C7132043D}"/>
            </c:ext>
          </c:extLst>
        </c:ser>
        <c:dLbls>
          <c:dLblPos val="outEnd"/>
          <c:showLegendKey val="0"/>
          <c:showVal val="1"/>
          <c:showCatName val="0"/>
          <c:showSerName val="0"/>
          <c:showPercent val="0"/>
          <c:showBubbleSize val="0"/>
        </c:dLbls>
        <c:gapWidth val="182"/>
        <c:axId val="391596079"/>
        <c:axId val="391596559"/>
      </c:barChart>
      <c:catAx>
        <c:axId val="391596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dk1"/>
                </a:solidFill>
                <a:latin typeface="+mn-lt"/>
                <a:ea typeface="+mn-ea"/>
                <a:cs typeface="+mn-cs"/>
              </a:defRPr>
            </a:pPr>
            <a:endParaRPr lang="en-US"/>
          </a:p>
        </c:txPr>
        <c:crossAx val="391596559"/>
        <c:crosses val="autoZero"/>
        <c:auto val="1"/>
        <c:lblAlgn val="ctr"/>
        <c:lblOffset val="100"/>
        <c:noMultiLvlLbl val="0"/>
      </c:catAx>
      <c:valAx>
        <c:axId val="391596559"/>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391596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rnd" cmpd="sng" algn="ctr">
      <a:solidFill>
        <a:schemeClr val="accent1"/>
      </a:solidFill>
      <a:prstDash val="solid"/>
      <a:round/>
    </a:ln>
    <a:effectLst/>
  </c:spPr>
  <c:txPr>
    <a:bodyPr/>
    <a:lstStyle/>
    <a:p>
      <a:pPr>
        <a:defRPr sz="200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[Project.2_Analyzer.xlsx]Task_8!monthly sales trend</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layout>
        <c:manualLayout>
          <c:xMode val="edge"/>
          <c:yMode val="edge"/>
          <c:x val="0.35168146457420973"/>
          <c:y val="5.959758417105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Task_8!$D$37</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multiLvlStrRef>
              <c:f>Task_8!$A$38:$C$53</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Task_8!$D$38:$D$53</c:f>
              <c:numCache>
                <c:formatCode>General</c:formatCode>
                <c:ptCount val="13"/>
                <c:pt idx="0">
                  <c:v>19029.96</c:v>
                </c:pt>
                <c:pt idx="1">
                  <c:v>18507.339999999997</c:v>
                </c:pt>
                <c:pt idx="2">
                  <c:v>20187.509999999998</c:v>
                </c:pt>
                <c:pt idx="3">
                  <c:v>11609.039999999999</c:v>
                </c:pt>
                <c:pt idx="4">
                  <c:v>10091.699999999999</c:v>
                </c:pt>
                <c:pt idx="5">
                  <c:v>20533.499999999996</c:v>
                </c:pt>
                <c:pt idx="6">
                  <c:v>14215.240000000002</c:v>
                </c:pt>
                <c:pt idx="7">
                  <c:v>20135.030000000002</c:v>
                </c:pt>
                <c:pt idx="8">
                  <c:v>11120.04</c:v>
                </c:pt>
                <c:pt idx="9">
                  <c:v>14914.650000000001</c:v>
                </c:pt>
                <c:pt idx="10">
                  <c:v>14006.359999999999</c:v>
                </c:pt>
                <c:pt idx="11">
                  <c:v>17655.219999999998</c:v>
                </c:pt>
                <c:pt idx="12">
                  <c:v>3212.17</c:v>
                </c:pt>
              </c:numCache>
            </c:numRef>
          </c:val>
          <c:smooth val="0"/>
          <c:extLst>
            <c:ext xmlns:c16="http://schemas.microsoft.com/office/drawing/2014/chart" uri="{C3380CC4-5D6E-409C-BE32-E72D297353CC}">
              <c16:uniqueId val="{00000000-FE37-4EDE-9FFA-022A7BCBDEFE}"/>
            </c:ext>
          </c:extLst>
        </c:ser>
        <c:dLbls>
          <c:showLegendKey val="0"/>
          <c:showVal val="0"/>
          <c:showCatName val="0"/>
          <c:showSerName val="0"/>
          <c:showPercent val="0"/>
          <c:showBubbleSize val="0"/>
        </c:dLbls>
        <c:smooth val="0"/>
        <c:axId val="170288191"/>
        <c:axId val="170304991"/>
      </c:lineChart>
      <c:catAx>
        <c:axId val="17028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04991"/>
        <c:crosses val="autoZero"/>
        <c:auto val="1"/>
        <c:lblAlgn val="ctr"/>
        <c:lblOffset val="100"/>
        <c:noMultiLvlLbl val="0"/>
      </c:catAx>
      <c:valAx>
        <c:axId val="170304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288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[Project.2_Analyzer.xlsx]Task_8!category vs sales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a:t>
            </a:r>
            <a:r>
              <a:rPr lang="en-IN" baseline="0"/>
              <a:t> Categories vs Sales</a:t>
            </a:r>
            <a:endParaRPr lang="en-IN"/>
          </a:p>
        </c:rich>
      </c:tx>
      <c:layout>
        <c:manualLayout>
          <c:xMode val="edge"/>
          <c:yMode val="edge"/>
          <c:x val="0.2879025289735811"/>
          <c:y val="3.848625681178857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Task_8!$B$64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531-4DB0-AA61-BF300E506C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31-4DB0-AA61-BF300E506C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531-4DB0-AA61-BF300E506C3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531-4DB0-AA61-BF300E506C3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531-4DB0-AA61-BF300E506C3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752-4E52-BD23-3EB37440E3CB}"/>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Task_8!$A$65:$A$71</c:f>
              <c:strCache>
                <c:ptCount val="6"/>
                <c:pt idx="0">
                  <c:v>Books</c:v>
                </c:pt>
                <c:pt idx="1">
                  <c:v>Clothing</c:v>
                </c:pt>
                <c:pt idx="2">
                  <c:v>Electronics</c:v>
                </c:pt>
                <c:pt idx="3">
                  <c:v>Furniture</c:v>
                </c:pt>
                <c:pt idx="4">
                  <c:v>Office Supplies</c:v>
                </c:pt>
                <c:pt idx="5">
                  <c:v>(blank)</c:v>
                </c:pt>
              </c:strCache>
            </c:strRef>
          </c:cat>
          <c:val>
            <c:numRef>
              <c:f>Task_8!$B$65:$B$71</c:f>
              <c:numCache>
                <c:formatCode>General</c:formatCode>
                <c:ptCount val="6"/>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0-9D3B-49BD-B817-5F9FF10469A5}"/>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[Project.2_Analyzer.xlsx]Task_8!Bar chart region vs profit</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vs Profit</a:t>
            </a:r>
            <a:endParaRPr lang="en-US"/>
          </a:p>
        </c:rich>
      </c:tx>
      <c:layout>
        <c:manualLayout>
          <c:xMode val="edge"/>
          <c:yMode val="edge"/>
          <c:x val="0.3609477950090173"/>
          <c:y val="5.36309516554254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Task_8!$B$97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Task_8!$A$98:$A$104</c:f>
              <c:strCache>
                <c:ptCount val="6"/>
                <c:pt idx="0">
                  <c:v>Central</c:v>
                </c:pt>
                <c:pt idx="1">
                  <c:v>East</c:v>
                </c:pt>
                <c:pt idx="2">
                  <c:v>North</c:v>
                </c:pt>
                <c:pt idx="3">
                  <c:v>South</c:v>
                </c:pt>
                <c:pt idx="4">
                  <c:v>West</c:v>
                </c:pt>
                <c:pt idx="5">
                  <c:v>(blank)</c:v>
                </c:pt>
              </c:strCache>
            </c:strRef>
          </c:cat>
          <c:val>
            <c:numRef>
              <c:f>Task_8!$B$98:$B$104</c:f>
              <c:numCache>
                <c:formatCode>General</c:formatCode>
                <c:ptCount val="6"/>
                <c:pt idx="0">
                  <c:v>16068.4</c:v>
                </c:pt>
                <c:pt idx="1">
                  <c:v>11638.589999999997</c:v>
                </c:pt>
                <c:pt idx="2">
                  <c:v>11902.279999999997</c:v>
                </c:pt>
                <c:pt idx="3">
                  <c:v>13691.910000000003</c:v>
                </c:pt>
                <c:pt idx="4">
                  <c:v>14985.830000000002</c:v>
                </c:pt>
              </c:numCache>
            </c:numRef>
          </c:val>
          <c:extLst>
            <c:ext xmlns:c16="http://schemas.microsoft.com/office/drawing/2014/chart" uri="{C3380CC4-5D6E-409C-BE32-E72D297353CC}">
              <c16:uniqueId val="{00000000-E772-4F84-86AF-76372C58F256}"/>
            </c:ext>
          </c:extLst>
        </c:ser>
        <c:dLbls>
          <c:dLblPos val="outEnd"/>
          <c:showLegendKey val="0"/>
          <c:showVal val="1"/>
          <c:showCatName val="0"/>
          <c:showSerName val="0"/>
          <c:showPercent val="0"/>
          <c:showBubbleSize val="0"/>
        </c:dLbls>
        <c:gapWidth val="219"/>
        <c:overlap val="-27"/>
        <c:axId val="170315071"/>
        <c:axId val="170315551"/>
      </c:barChart>
      <c:catAx>
        <c:axId val="170315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15551"/>
        <c:crosses val="autoZero"/>
        <c:auto val="1"/>
        <c:lblAlgn val="ctr"/>
        <c:lblOffset val="100"/>
        <c:noMultiLvlLbl val="0"/>
      </c:catAx>
      <c:valAx>
        <c:axId val="170315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15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[Project.2_Analyzer.xlsx]Task_8!region vs category vs sales</c:name>
    <c:fmtId val="5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Task_8!$C$1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Task_8!$A$2:$B$33</c:f>
              <c:multiLvlStrCache>
                <c:ptCount val="26"/>
                <c:lvl>
                  <c:pt idx="0">
                    <c:v>Books</c:v>
                  </c:pt>
                  <c:pt idx="1">
                    <c:v>Clothing</c:v>
                  </c:pt>
                  <c:pt idx="2">
                    <c:v>Electronics</c:v>
                  </c:pt>
                  <c:pt idx="3">
                    <c:v>Furniture</c:v>
                  </c:pt>
                  <c:pt idx="4">
                    <c:v>Office Supplies</c:v>
                  </c:pt>
                  <c:pt idx="5">
                    <c:v>Books</c:v>
                  </c:pt>
                  <c:pt idx="6">
                    <c:v>Clothing</c:v>
                  </c:pt>
                  <c:pt idx="7">
                    <c:v>Electronics</c:v>
                  </c:pt>
                  <c:pt idx="8">
                    <c:v>Furniture</c:v>
                  </c:pt>
                  <c:pt idx="9">
                    <c:v>Office Supplies</c:v>
                  </c:pt>
                  <c:pt idx="10">
                    <c:v>Books</c:v>
                  </c:pt>
                  <c:pt idx="11">
                    <c:v>Clothing</c:v>
                  </c:pt>
                  <c:pt idx="12">
                    <c:v>Electronics</c:v>
                  </c:pt>
                  <c:pt idx="13">
                    <c:v>Furniture</c:v>
                  </c:pt>
                  <c:pt idx="14">
                    <c:v>Office Supplies</c:v>
                  </c:pt>
                  <c:pt idx="15">
                    <c:v>Books</c:v>
                  </c:pt>
                  <c:pt idx="16">
                    <c:v>Clothing</c:v>
                  </c:pt>
                  <c:pt idx="17">
                    <c:v>Electronics</c:v>
                  </c:pt>
                  <c:pt idx="18">
                    <c:v>Furniture</c:v>
                  </c:pt>
                  <c:pt idx="19">
                    <c:v>Office Supplies</c:v>
                  </c:pt>
                  <c:pt idx="20">
                    <c:v>Books</c:v>
                  </c:pt>
                  <c:pt idx="21">
                    <c:v>Clothing</c:v>
                  </c:pt>
                  <c:pt idx="22">
                    <c:v>Electronics</c:v>
                  </c:pt>
                  <c:pt idx="23">
                    <c:v>Furniture</c:v>
                  </c:pt>
                  <c:pt idx="24">
                    <c:v>Office Supplies</c:v>
                  </c:pt>
                </c:lvl>
                <c:lvl>
                  <c:pt idx="0">
                    <c:v>Central</c:v>
                  </c:pt>
                  <c:pt idx="5">
                    <c:v>East</c:v>
                  </c:pt>
                  <c:pt idx="10">
                    <c:v>North</c:v>
                  </c:pt>
                  <c:pt idx="15">
                    <c:v>South</c:v>
                  </c:pt>
                  <c:pt idx="20">
                    <c:v>West</c:v>
                  </c:pt>
                  <c:pt idx="25">
                    <c:v>(blank)</c:v>
                  </c:pt>
                </c:lvl>
              </c:multiLvlStrCache>
            </c:multiLvlStrRef>
          </c:cat>
          <c:val>
            <c:numRef>
              <c:f>Task_8!$C$2:$C$33</c:f>
              <c:numCache>
                <c:formatCode>0.00</c:formatCode>
                <c:ptCount val="26"/>
                <c:pt idx="0">
                  <c:v>11297.150000000001</c:v>
                </c:pt>
                <c:pt idx="1">
                  <c:v>12200.26</c:v>
                </c:pt>
                <c:pt idx="2">
                  <c:v>6621.24</c:v>
                </c:pt>
                <c:pt idx="3">
                  <c:v>4876.96</c:v>
                </c:pt>
                <c:pt idx="4">
                  <c:v>8472.7199999999993</c:v>
                </c:pt>
                <c:pt idx="5">
                  <c:v>11389.090000000002</c:v>
                </c:pt>
                <c:pt idx="6">
                  <c:v>2401.4499999999998</c:v>
                </c:pt>
                <c:pt idx="7">
                  <c:v>2869.54</c:v>
                </c:pt>
                <c:pt idx="8">
                  <c:v>7592.3399999999992</c:v>
                </c:pt>
                <c:pt idx="9">
                  <c:v>8189.2200000000012</c:v>
                </c:pt>
                <c:pt idx="10">
                  <c:v>8037.0100000000011</c:v>
                </c:pt>
                <c:pt idx="11">
                  <c:v>8422.82</c:v>
                </c:pt>
                <c:pt idx="12">
                  <c:v>8191.7099999999991</c:v>
                </c:pt>
                <c:pt idx="13">
                  <c:v>6978.08</c:v>
                </c:pt>
                <c:pt idx="14">
                  <c:v>3345.8</c:v>
                </c:pt>
                <c:pt idx="15">
                  <c:v>9588.0400000000009</c:v>
                </c:pt>
                <c:pt idx="16">
                  <c:v>8393.630000000001</c:v>
                </c:pt>
                <c:pt idx="17">
                  <c:v>11989.070000000003</c:v>
                </c:pt>
                <c:pt idx="18">
                  <c:v>7982.73</c:v>
                </c:pt>
                <c:pt idx="19">
                  <c:v>2295.3199999999997</c:v>
                </c:pt>
                <c:pt idx="20">
                  <c:v>6691.17</c:v>
                </c:pt>
                <c:pt idx="21">
                  <c:v>10509.429999999998</c:v>
                </c:pt>
                <c:pt idx="22">
                  <c:v>11372.44</c:v>
                </c:pt>
                <c:pt idx="23">
                  <c:v>9182.7800000000007</c:v>
                </c:pt>
                <c:pt idx="24">
                  <c:v>6327.76</c:v>
                </c:pt>
              </c:numCache>
            </c:numRef>
          </c:val>
          <c:extLst>
            <c:ext xmlns:c16="http://schemas.microsoft.com/office/drawing/2014/chart" uri="{C3380CC4-5D6E-409C-BE32-E72D297353CC}">
              <c16:uniqueId val="{00000000-8CD7-4C16-A0BC-0D14CF24E736}"/>
            </c:ext>
          </c:extLst>
        </c:ser>
        <c:dLbls>
          <c:dLblPos val="outEnd"/>
          <c:showLegendKey val="0"/>
          <c:showVal val="1"/>
          <c:showCatName val="0"/>
          <c:showSerName val="0"/>
          <c:showPercent val="0"/>
          <c:showBubbleSize val="0"/>
        </c:dLbls>
        <c:gapWidth val="182"/>
        <c:axId val="391596079"/>
        <c:axId val="391596559"/>
      </c:barChart>
      <c:catAx>
        <c:axId val="391596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596559"/>
        <c:crosses val="autoZero"/>
        <c:auto val="1"/>
        <c:lblAlgn val="ctr"/>
        <c:lblOffset val="100"/>
        <c:noMultiLvlLbl val="0"/>
      </c:catAx>
      <c:valAx>
        <c:axId val="391596559"/>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391596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23</xdr:col>
      <xdr:colOff>3914</xdr:colOff>
      <xdr:row>62</xdr:row>
      <xdr:rowOff>5744</xdr:rowOff>
    </xdr:from>
    <xdr:to>
      <xdr:col>39</xdr:col>
      <xdr:colOff>590549</xdr:colOff>
      <xdr:row>111</xdr:row>
      <xdr:rowOff>171061</xdr:rowOff>
    </xdr:to>
    <xdr:graphicFrame macro="">
      <xdr:nvGraphicFramePr>
        <xdr:cNvPr id="5" name="Line chart Monthly sales">
          <a:extLst>
            <a:ext uri="{FF2B5EF4-FFF2-40B4-BE49-F238E27FC236}">
              <a16:creationId xmlns:a16="http://schemas.microsoft.com/office/drawing/2014/main" id="{E7171884-7581-4426-9DF0-1F36337788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611274</xdr:colOff>
      <xdr:row>114</xdr:row>
      <xdr:rowOff>15018</xdr:rowOff>
    </xdr:from>
    <xdr:to>
      <xdr:col>22</xdr:col>
      <xdr:colOff>0</xdr:colOff>
      <xdr:row>163</xdr:row>
      <xdr:rowOff>16565</xdr:rowOff>
    </xdr:to>
    <xdr:graphicFrame macro="">
      <xdr:nvGraphicFramePr>
        <xdr:cNvPr id="6" name="Categorys vs sales">
          <a:extLst>
            <a:ext uri="{FF2B5EF4-FFF2-40B4-BE49-F238E27FC236}">
              <a16:creationId xmlns:a16="http://schemas.microsoft.com/office/drawing/2014/main" id="{0FF54DFB-C651-417C-8500-3E58806D09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591633</xdr:colOff>
      <xdr:row>114</xdr:row>
      <xdr:rowOff>9670</xdr:rowOff>
    </xdr:from>
    <xdr:to>
      <xdr:col>39</xdr:col>
      <xdr:colOff>579783</xdr:colOff>
      <xdr:row>163</xdr:row>
      <xdr:rowOff>10733</xdr:rowOff>
    </xdr:to>
    <xdr:graphicFrame macro="">
      <xdr:nvGraphicFramePr>
        <xdr:cNvPr id="7" name="Bar chart Region vs Profit">
          <a:extLst>
            <a:ext uri="{FF2B5EF4-FFF2-40B4-BE49-F238E27FC236}">
              <a16:creationId xmlns:a16="http://schemas.microsoft.com/office/drawing/2014/main" id="{9B8BA9CD-F7BC-4F19-8739-8E7D52FA45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343657</xdr:colOff>
      <xdr:row>21</xdr:row>
      <xdr:rowOff>108734</xdr:rowOff>
    </xdr:from>
    <xdr:to>
      <xdr:col>31</xdr:col>
      <xdr:colOff>182881</xdr:colOff>
      <xdr:row>29</xdr:row>
      <xdr:rowOff>23473</xdr:rowOff>
    </xdr:to>
    <mc:AlternateContent xmlns:mc="http://schemas.openxmlformats.org/markup-compatibility/2006">
      <mc:Choice xmlns:tsle="http://schemas.microsoft.com/office/drawing/2012/timeslicer" Requires="tsle">
        <xdr:graphicFrame macro="">
          <xdr:nvGraphicFramePr>
            <xdr:cNvPr id="31" name="Order_Date 1">
              <a:extLst>
                <a:ext uri="{FF2B5EF4-FFF2-40B4-BE49-F238E27FC236}">
                  <a16:creationId xmlns:a16="http://schemas.microsoft.com/office/drawing/2014/main" id="{20D2CDE8-5BF8-4838-9AFB-872DD838497E}"/>
                </a:ext>
              </a:extLst>
            </xdr:cNvPr>
            <xdr:cNvGraphicFramePr/>
          </xdr:nvGraphicFramePr>
          <xdr:xfrm>
            <a:off x="0" y="0"/>
            <a:ext cx="0" cy="0"/>
          </xdr:xfrm>
          <a:graphic>
            <a:graphicData uri="http://schemas.microsoft.com/office/drawing/2012/timeslicer">
              <tsle:timeslicer xmlns:tsle="http://schemas.microsoft.com/office/drawing/2012/timeslicer" name="Order_Date 1"/>
            </a:graphicData>
          </a:graphic>
        </xdr:graphicFrame>
      </mc:Choice>
      <mc:Fallback>
        <xdr:sp macro="" textlink="">
          <xdr:nvSpPr>
            <xdr:cNvPr id="0" name=""/>
            <xdr:cNvSpPr>
              <a:spLocks noTextEdit="1"/>
            </xdr:cNvSpPr>
          </xdr:nvSpPr>
          <xdr:spPr>
            <a:xfrm>
              <a:off x="9259057" y="4109234"/>
              <a:ext cx="12183624" cy="143873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22061</xdr:colOff>
      <xdr:row>2</xdr:row>
      <xdr:rowOff>135151</xdr:rowOff>
    </xdr:from>
    <xdr:to>
      <xdr:col>4</xdr:col>
      <xdr:colOff>416151</xdr:colOff>
      <xdr:row>9</xdr:row>
      <xdr:rowOff>114991</xdr:rowOff>
    </xdr:to>
    <xdr:pic>
      <xdr:nvPicPr>
        <xdr:cNvPr id="49" name="Picture 48">
          <a:extLst>
            <a:ext uri="{FF2B5EF4-FFF2-40B4-BE49-F238E27FC236}">
              <a16:creationId xmlns:a16="http://schemas.microsoft.com/office/drawing/2014/main" id="{39470A40-9ABD-A3F9-246A-A8F13076EA6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22061" y="500911"/>
          <a:ext cx="3076330" cy="1260000"/>
        </a:xfrm>
        <a:prstGeom prst="rect">
          <a:avLst/>
        </a:prstGeom>
      </xdr:spPr>
    </xdr:pic>
    <xdr:clientData/>
  </xdr:twoCellAnchor>
  <xdr:twoCellAnchor>
    <xdr:from>
      <xdr:col>4</xdr:col>
      <xdr:colOff>630435</xdr:colOff>
      <xdr:row>62</xdr:row>
      <xdr:rowOff>4175</xdr:rowOff>
    </xdr:from>
    <xdr:to>
      <xdr:col>21</xdr:col>
      <xdr:colOff>632115</xdr:colOff>
      <xdr:row>112</xdr:row>
      <xdr:rowOff>0</xdr:rowOff>
    </xdr:to>
    <xdr:graphicFrame macro="">
      <xdr:nvGraphicFramePr>
        <xdr:cNvPr id="50" name="Chart 49">
          <a:extLst>
            <a:ext uri="{FF2B5EF4-FFF2-40B4-BE49-F238E27FC236}">
              <a16:creationId xmlns:a16="http://schemas.microsoft.com/office/drawing/2014/main" id="{1210D69C-3532-4AC6-A438-3D4E063DBF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24</xdr:col>
      <xdr:colOff>20171</xdr:colOff>
      <xdr:row>31</xdr:row>
      <xdr:rowOff>174503</xdr:rowOff>
    </xdr:from>
    <xdr:to>
      <xdr:col>35</xdr:col>
      <xdr:colOff>9352</xdr:colOff>
      <xdr:row>58</xdr:row>
      <xdr:rowOff>6</xdr:rowOff>
    </xdr:to>
    <mc:AlternateContent xmlns:mc="http://schemas.openxmlformats.org/markup-compatibility/2006">
      <mc:Choice xmlns:a14="http://schemas.microsoft.com/office/drawing/2010/main" Requires="a14">
        <xdr:graphicFrame macro="">
          <xdr:nvGraphicFramePr>
            <xdr:cNvPr id="52" name="Product_Category 2">
              <a:extLst>
                <a:ext uri="{FF2B5EF4-FFF2-40B4-BE49-F238E27FC236}">
                  <a16:creationId xmlns:a16="http://schemas.microsoft.com/office/drawing/2014/main" id="{9A058E81-1525-4D92-9BB4-F57996C909B2}"/>
                </a:ext>
              </a:extLst>
            </xdr:cNvPr>
            <xdr:cNvGraphicFramePr/>
          </xdr:nvGraphicFramePr>
          <xdr:xfrm>
            <a:off x="0" y="0"/>
            <a:ext cx="0" cy="0"/>
          </xdr:xfrm>
          <a:graphic>
            <a:graphicData uri="http://schemas.microsoft.com/office/drawing/2010/slicer">
              <sle:slicer xmlns:sle="http://schemas.microsoft.com/office/drawing/2010/slicer" name="Product_Category 2"/>
            </a:graphicData>
          </a:graphic>
        </xdr:graphicFrame>
      </mc:Choice>
      <mc:Fallback>
        <xdr:sp macro="" textlink="">
          <xdr:nvSpPr>
            <xdr:cNvPr id="0" name=""/>
            <xdr:cNvSpPr>
              <a:spLocks noTextEdit="1"/>
            </xdr:cNvSpPr>
          </xdr:nvSpPr>
          <xdr:spPr>
            <a:xfrm>
              <a:off x="16479371" y="6080003"/>
              <a:ext cx="7532981" cy="49690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26881</xdr:colOff>
      <xdr:row>31</xdr:row>
      <xdr:rowOff>168234</xdr:rowOff>
    </xdr:from>
    <xdr:to>
      <xdr:col>20</xdr:col>
      <xdr:colOff>657579</xdr:colOff>
      <xdr:row>57</xdr:row>
      <xdr:rowOff>167005</xdr:rowOff>
    </xdr:to>
    <mc:AlternateContent xmlns:mc="http://schemas.openxmlformats.org/markup-compatibility/2006">
      <mc:Choice xmlns:a14="http://schemas.microsoft.com/office/drawing/2010/main" Requires="a14">
        <xdr:graphicFrame macro="">
          <xdr:nvGraphicFramePr>
            <xdr:cNvPr id="2" name="Region 1">
              <a:extLst>
                <a:ext uri="{FF2B5EF4-FFF2-40B4-BE49-F238E27FC236}">
                  <a16:creationId xmlns:a16="http://schemas.microsoft.com/office/drawing/2014/main" id="{5EA90EF1-E36E-453E-B273-B9033789C45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6884881" y="6073734"/>
              <a:ext cx="7488698" cy="49517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566057</xdr:colOff>
      <xdr:row>32</xdr:row>
      <xdr:rowOff>14377</xdr:rowOff>
    </xdr:from>
    <xdr:to>
      <xdr:col>19</xdr:col>
      <xdr:colOff>0</xdr:colOff>
      <xdr:row>54</xdr:row>
      <xdr:rowOff>0</xdr:rowOff>
    </xdr:to>
    <xdr:graphicFrame macro="">
      <xdr:nvGraphicFramePr>
        <xdr:cNvPr id="5" name="Line chart Monthly sales">
          <a:extLst>
            <a:ext uri="{FF2B5EF4-FFF2-40B4-BE49-F238E27FC236}">
              <a16:creationId xmlns:a16="http://schemas.microsoft.com/office/drawing/2014/main" id="{DCD7676A-3312-B3D4-195F-689862A3F9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62</xdr:row>
      <xdr:rowOff>176607</xdr:rowOff>
    </xdr:from>
    <xdr:to>
      <xdr:col>19</xdr:col>
      <xdr:colOff>1</xdr:colOff>
      <xdr:row>86</xdr:row>
      <xdr:rowOff>24847</xdr:rowOff>
    </xdr:to>
    <xdr:graphicFrame macro="">
      <xdr:nvGraphicFramePr>
        <xdr:cNvPr id="6" name="Categorys vs sales">
          <a:extLst>
            <a:ext uri="{FF2B5EF4-FFF2-40B4-BE49-F238E27FC236}">
              <a16:creationId xmlns:a16="http://schemas.microsoft.com/office/drawing/2014/main" id="{2A98DA99-2FA9-47E4-6C0A-094CE554C2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13855</xdr:colOff>
      <xdr:row>96</xdr:row>
      <xdr:rowOff>4023</xdr:rowOff>
    </xdr:from>
    <xdr:to>
      <xdr:col>18</xdr:col>
      <xdr:colOff>595745</xdr:colOff>
      <xdr:row>119</xdr:row>
      <xdr:rowOff>0</xdr:rowOff>
    </xdr:to>
    <xdr:graphicFrame macro="">
      <xdr:nvGraphicFramePr>
        <xdr:cNvPr id="7" name="Chart 6">
          <a:extLst>
            <a:ext uri="{FF2B5EF4-FFF2-40B4-BE49-F238E27FC236}">
              <a16:creationId xmlns:a16="http://schemas.microsoft.com/office/drawing/2014/main" id="{B8AC37A3-343C-347E-1161-D55CF4C8EC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4763</xdr:colOff>
      <xdr:row>0</xdr:row>
      <xdr:rowOff>0</xdr:rowOff>
    </xdr:from>
    <xdr:to>
      <xdr:col>19</xdr:col>
      <xdr:colOff>0</xdr:colOff>
      <xdr:row>31</xdr:row>
      <xdr:rowOff>9525</xdr:rowOff>
    </xdr:to>
    <xdr:graphicFrame macro="">
      <xdr:nvGraphicFramePr>
        <xdr:cNvPr id="13" name="Chart 12">
          <a:extLst>
            <a:ext uri="{FF2B5EF4-FFF2-40B4-BE49-F238E27FC236}">
              <a16:creationId xmlns:a16="http://schemas.microsoft.com/office/drawing/2014/main" id="{194C6756-246E-B364-7991-1888667E1D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24</xdr:col>
      <xdr:colOff>2169</xdr:colOff>
      <xdr:row>21</xdr:row>
      <xdr:rowOff>3404</xdr:rowOff>
    </xdr:from>
    <xdr:to>
      <xdr:col>31</xdr:col>
      <xdr:colOff>662607</xdr:colOff>
      <xdr:row>47</xdr:row>
      <xdr:rowOff>99392</xdr:rowOff>
    </xdr:to>
    <mc:AlternateContent xmlns:mc="http://schemas.openxmlformats.org/markup-compatibility/2006">
      <mc:Choice xmlns:a14="http://schemas.microsoft.com/office/drawing/2010/main" Requires="a14">
        <xdr:graphicFrame macro="">
          <xdr:nvGraphicFramePr>
            <xdr:cNvPr id="14" name="Region">
              <a:extLst>
                <a:ext uri="{FF2B5EF4-FFF2-40B4-BE49-F238E27FC236}">
                  <a16:creationId xmlns:a16="http://schemas.microsoft.com/office/drawing/2014/main" id="{6884A3F8-6E54-9B70-EC64-302F03AD0B8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8645769" y="3737204"/>
              <a:ext cx="5283238" cy="47187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602610</xdr:colOff>
      <xdr:row>9</xdr:row>
      <xdr:rowOff>24042</xdr:rowOff>
    </xdr:from>
    <xdr:to>
      <xdr:col>26</xdr:col>
      <xdr:colOff>442372</xdr:colOff>
      <xdr:row>19</xdr:row>
      <xdr:rowOff>24984</xdr:rowOff>
    </xdr:to>
    <mc:AlternateContent xmlns:mc="http://schemas.openxmlformats.org/markup-compatibility/2006" xmlns:a14="http://schemas.microsoft.com/office/drawing/2010/main">
      <mc:Choice Requires="a14">
        <xdr:graphicFrame macro="">
          <xdr:nvGraphicFramePr>
            <xdr:cNvPr id="15" name="Product_Category">
              <a:extLst>
                <a:ext uri="{FF2B5EF4-FFF2-40B4-BE49-F238E27FC236}">
                  <a16:creationId xmlns:a16="http://schemas.microsoft.com/office/drawing/2014/main" id="{DB28ED43-212B-84C6-1658-91A4DBBFE466}"/>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7504020" y="1710435"/>
              <a:ext cx="1825143" cy="18747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kesh Kote" refreshedDate="46161.651680324074" createdVersion="8" refreshedVersion="8" minRefreshableVersion="3" recordCount="208" xr:uid="{699C8089-9ADB-4BFA-8E94-9BAFE1AF7B0B}">
  <cacheSource type="worksheet">
    <worksheetSource ref="A1:I1048576" sheet="Dataset"/>
  </cacheSource>
  <cacheFields count="12">
    <cacheField name="Customer_ID" numFmtId="0">
      <sharedItems containsBlank="1"/>
    </cacheField>
    <cacheField name="Customer_Name" numFmtId="0">
      <sharedItems containsBlank="1"/>
    </cacheField>
    <cacheField name="Region" numFmtId="0">
      <sharedItems containsBlank="1" count="6">
        <s v="West"/>
        <s v="East"/>
        <s v="South"/>
        <s v="North"/>
        <s v="Central"/>
        <m/>
      </sharedItems>
    </cacheField>
    <cacheField name="Product_Category" numFmtId="0">
      <sharedItems containsBlank="1" count="6">
        <s v="Books"/>
        <s v="Clothing"/>
        <s v="Electronics"/>
        <s v="Furniture"/>
        <s v="Office Supplies"/>
        <m/>
      </sharedItems>
    </cacheField>
    <cacheField name="Sales" numFmtId="2">
      <sharedItems containsString="0" containsBlank="1" containsNumber="1" minValue="258.51" maxValue="1923.66"/>
    </cacheField>
    <cacheField name="Quantity" numFmtId="1">
      <sharedItems containsString="0" containsBlank="1" containsNumber="1" containsInteger="1" minValue="1" maxValue="19"/>
    </cacheField>
    <cacheField name="Discount" numFmtId="10">
      <sharedItems containsString="0" containsBlank="1" containsNumber="1" minValue="0" maxValue="0.2"/>
    </cacheField>
    <cacheField name="Order_Date" numFmtId="14">
      <sharedItems containsNonDate="0" containsDate="1" containsString="0" containsBlank="1" minDate="2024-04-10T00:00:00" maxDate="2025-04-08T00:00:00" count="149">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m/>
      </sharedItems>
      <fieldGroup par="11"/>
    </cacheField>
    <cacheField name="Profit" numFmtId="2">
      <sharedItems containsString="0" containsBlank="1" containsNumber="1" minValue="64.63" maxValue="769.46"/>
    </cacheField>
    <cacheField name="Months (Order_Date)" numFmtId="0" databaseField="0">
      <fieldGroup base="7">
        <rangePr groupBy="months" startDate="2024-04-10T00:00:00" endDate="2025-04-08T00:00:00"/>
        <groupItems count="14">
          <s v="&lt;10-04-2024"/>
          <s v="Jan"/>
          <s v="Feb"/>
          <s v="Mar"/>
          <s v="Apr"/>
          <s v="May"/>
          <s v="Jun"/>
          <s v="Jul"/>
          <s v="Aug"/>
          <s v="Sep"/>
          <s v="Oct"/>
          <s v="Nov"/>
          <s v="Dec"/>
          <s v="&gt;08-04-2025"/>
        </groupItems>
      </fieldGroup>
    </cacheField>
    <cacheField name="Quarters (Order_Date)" numFmtId="0" databaseField="0">
      <fieldGroup base="7">
        <rangePr groupBy="quarters" startDate="2024-04-10T00:00:00" endDate="2025-04-08T00:00:00"/>
        <groupItems count="6">
          <s v="&lt;10-04-2024"/>
          <s v="Qtr1"/>
          <s v="Qtr2"/>
          <s v="Qtr3"/>
          <s v="Qtr4"/>
          <s v="&gt;08-04-2025"/>
        </groupItems>
      </fieldGroup>
    </cacheField>
    <cacheField name="Years (Order_Date)" numFmtId="0" databaseField="0">
      <fieldGroup base="7">
        <rangePr groupBy="years" startDate="2024-04-10T00:00:00" endDate="2025-04-08T00:00:00"/>
        <groupItems count="4">
          <s v="&lt;10-04-2024"/>
          <s v="2024"/>
          <s v="2025"/>
          <s v="&gt;08-04-2025"/>
        </groupItems>
      </fieldGroup>
    </cacheField>
  </cacheFields>
  <extLst>
    <ext xmlns:x14="http://schemas.microsoft.com/office/spreadsheetml/2009/9/main" uri="{725AE2AE-9491-48be-B2B4-4EB974FC3084}">
      <x14:pivotCacheDefinition pivotCacheId="19713783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8">
  <r>
    <s v="CUST019"/>
    <s v="James Davis"/>
    <x v="0"/>
    <x v="0"/>
    <n v="1036.0899999999999"/>
    <n v="4"/>
    <n v="0.2"/>
    <x v="0"/>
    <n v="331.55"/>
  </r>
  <r>
    <s v="CUST012"/>
    <s v="Robert Anderson"/>
    <x v="0"/>
    <x v="1"/>
    <n v="1101.28"/>
    <n v="3"/>
    <n v="0.2"/>
    <x v="1"/>
    <n v="440.51"/>
  </r>
  <r>
    <s v="CUST017"/>
    <s v="James Taylor"/>
    <x v="1"/>
    <x v="0"/>
    <n v="713.34"/>
    <n v="17"/>
    <n v="0"/>
    <x v="2"/>
    <n v="285.33999999999997"/>
  </r>
  <r>
    <s v="CUST005"/>
    <s v="Robert Anderson"/>
    <x v="2"/>
    <x v="2"/>
    <n v="760.93"/>
    <n v="4"/>
    <n v="0.15"/>
    <x v="2"/>
    <n v="161.69999999999999"/>
  </r>
  <r>
    <s v="CUST030"/>
    <s v="James Wilson"/>
    <x v="3"/>
    <x v="0"/>
    <n v="847"/>
    <n v="12"/>
    <n v="0.2"/>
    <x v="3"/>
    <n v="271.04000000000002"/>
  </r>
  <r>
    <s v="CUST007"/>
    <s v="Michael Anderson"/>
    <x v="3"/>
    <x v="3"/>
    <n v="965.64"/>
    <n v="8"/>
    <n v="0.1"/>
    <x v="4"/>
    <n v="304.18"/>
  </r>
  <r>
    <s v="CUST001"/>
    <s v="Linda Wilson"/>
    <x v="0"/>
    <x v="2"/>
    <n v="1317.53"/>
    <n v="12"/>
    <n v="0.05"/>
    <x v="4"/>
    <n v="312.91000000000003"/>
  </r>
  <r>
    <s v="CUST026"/>
    <s v="Mary Davis"/>
    <x v="1"/>
    <x v="3"/>
    <n v="1074.47"/>
    <n v="6"/>
    <n v="0.2"/>
    <x v="5"/>
    <n v="300.85000000000002"/>
  </r>
  <r>
    <s v="CUST009"/>
    <s v="Linda Jackson"/>
    <x v="4"/>
    <x v="0"/>
    <n v="501.54"/>
    <n v="11"/>
    <n v="0.05"/>
    <x v="5"/>
    <n v="190.59"/>
  </r>
  <r>
    <s v="CUST010"/>
    <s v="David Thomas"/>
    <x v="4"/>
    <x v="1"/>
    <n v="737.31"/>
    <n v="2"/>
    <n v="0.05"/>
    <x v="5"/>
    <n v="350.22"/>
  </r>
  <r>
    <s v="CUST014"/>
    <s v="Emma Davis"/>
    <x v="0"/>
    <x v="4"/>
    <n v="1572.82"/>
    <n v="6"/>
    <n v="0.05"/>
    <x v="6"/>
    <n v="672.38"/>
  </r>
  <r>
    <s v="CUST014"/>
    <s v="David Thomas"/>
    <x v="4"/>
    <x v="0"/>
    <n v="1343.13"/>
    <n v="14"/>
    <n v="0.15"/>
    <x v="7"/>
    <n v="456.66"/>
  </r>
  <r>
    <s v="CUST007"/>
    <s v="Michael Anderson"/>
    <x v="4"/>
    <x v="0"/>
    <n v="1191.58"/>
    <n v="14"/>
    <n v="0.05"/>
    <x v="8"/>
    <n v="452.8"/>
  </r>
  <r>
    <s v="CUST023"/>
    <s v="Robert Anderson"/>
    <x v="0"/>
    <x v="3"/>
    <n v="822.28"/>
    <n v="7"/>
    <n v="0.05"/>
    <x v="8"/>
    <n v="273.41000000000003"/>
  </r>
  <r>
    <s v="CUST029"/>
    <s v="David Smith"/>
    <x v="3"/>
    <x v="3"/>
    <n v="521.66999999999996"/>
    <n v="15"/>
    <n v="0.15"/>
    <x v="9"/>
    <n v="155.19999999999999"/>
  </r>
  <r>
    <s v="CUST005"/>
    <s v="Sarah Anderson"/>
    <x v="2"/>
    <x v="2"/>
    <n v="1502.93"/>
    <n v="14"/>
    <n v="0.2"/>
    <x v="10"/>
    <n v="300.58999999999997"/>
  </r>
  <r>
    <s v="CUST008"/>
    <s v="Robert Anderson"/>
    <x v="2"/>
    <x v="0"/>
    <n v="877.58"/>
    <n v="10"/>
    <n v="0.15"/>
    <x v="11"/>
    <n v="298.38"/>
  </r>
  <r>
    <s v="CUST001"/>
    <s v="Lisa Thomas"/>
    <x v="0"/>
    <x v="0"/>
    <n v="636.70000000000005"/>
    <n v="4"/>
    <n v="0.2"/>
    <x v="11"/>
    <n v="203.74"/>
  </r>
  <r>
    <s v="CUST006"/>
    <s v="Mary Jackson"/>
    <x v="0"/>
    <x v="0"/>
    <n v="1506.14"/>
    <n v="13"/>
    <n v="0.2"/>
    <x v="12"/>
    <n v="481.96"/>
  </r>
  <r>
    <s v="CUST026"/>
    <s v="Mary Davis"/>
    <x v="4"/>
    <x v="2"/>
    <n v="645.02"/>
    <n v="4"/>
    <n v="0"/>
    <x v="13"/>
    <n v="161.26"/>
  </r>
  <r>
    <s v="CUST007"/>
    <s v="Lisa Davis"/>
    <x v="2"/>
    <x v="1"/>
    <n v="953.3"/>
    <n v="11"/>
    <n v="0"/>
    <x v="14"/>
    <n v="476.65"/>
  </r>
  <r>
    <s v="CUST022"/>
    <s v="Robert Anderson"/>
    <x v="3"/>
    <x v="2"/>
    <n v="388.56"/>
    <n v="14"/>
    <n v="0.15"/>
    <x v="15"/>
    <n v="82.57"/>
  </r>
  <r>
    <s v="CUST019"/>
    <s v="Mary Davis"/>
    <x v="0"/>
    <x v="0"/>
    <n v="743.17"/>
    <n v="9"/>
    <n v="0"/>
    <x v="15"/>
    <n v="297.27"/>
  </r>
  <r>
    <s v="CUST023"/>
    <s v="Mary Davis"/>
    <x v="4"/>
    <x v="2"/>
    <n v="706.37"/>
    <n v="6"/>
    <n v="0"/>
    <x v="15"/>
    <n v="176.59"/>
  </r>
  <r>
    <s v="CUST012"/>
    <s v="Mary Davis"/>
    <x v="4"/>
    <x v="4"/>
    <n v="925.31"/>
    <n v="8"/>
    <n v="0.1"/>
    <x v="16"/>
    <n v="374.75"/>
  </r>
  <r>
    <s v="CUST010"/>
    <s v="Linda Brown"/>
    <x v="2"/>
    <x v="2"/>
    <n v="1173.1199999999999"/>
    <n v="18"/>
    <n v="0"/>
    <x v="16"/>
    <n v="293.27999999999997"/>
  </r>
  <r>
    <s v="CUST030"/>
    <s v="John Brown"/>
    <x v="3"/>
    <x v="3"/>
    <n v="675.54"/>
    <n v="17"/>
    <n v="0"/>
    <x v="17"/>
    <n v="236.44"/>
  </r>
  <r>
    <s v="CUST007"/>
    <s v="Robert Anderson"/>
    <x v="4"/>
    <x v="0"/>
    <n v="939.09"/>
    <n v="2"/>
    <n v="0.05"/>
    <x v="18"/>
    <n v="356.85"/>
  </r>
  <r>
    <s v="CUST028"/>
    <s v="Linda Taylor"/>
    <x v="1"/>
    <x v="4"/>
    <n v="983.34"/>
    <n v="19"/>
    <n v="0.1"/>
    <x v="19"/>
    <n v="398.25"/>
  </r>
  <r>
    <s v="CUST028"/>
    <s v="James Wilson"/>
    <x v="2"/>
    <x v="2"/>
    <n v="801.21"/>
    <n v="3"/>
    <n v="0.2"/>
    <x v="19"/>
    <n v="160.24"/>
  </r>
  <r>
    <s v="CUST025"/>
    <s v="David Brown"/>
    <x v="3"/>
    <x v="2"/>
    <n v="1450.71"/>
    <n v="5"/>
    <n v="0.1"/>
    <x v="20"/>
    <n v="326.41000000000003"/>
  </r>
  <r>
    <s v="CUST022"/>
    <s v="David Davis"/>
    <x v="4"/>
    <x v="0"/>
    <n v="1023.21"/>
    <n v="18"/>
    <n v="0.05"/>
    <x v="21"/>
    <n v="388.82"/>
  </r>
  <r>
    <s v="CUST001"/>
    <s v="Mary Jackson"/>
    <x v="0"/>
    <x v="3"/>
    <n v="853.72"/>
    <n v="5"/>
    <n v="0.15"/>
    <x v="21"/>
    <n v="253.98"/>
  </r>
  <r>
    <s v="CUST021"/>
    <s v="Sarah Anderson"/>
    <x v="2"/>
    <x v="2"/>
    <n v="967.89"/>
    <n v="10"/>
    <n v="0.1"/>
    <x v="22"/>
    <n v="217.78"/>
  </r>
  <r>
    <s v="CUST015"/>
    <s v="Linda Taylor"/>
    <x v="3"/>
    <x v="4"/>
    <n v="1200.9000000000001"/>
    <n v="14"/>
    <n v="0.05"/>
    <x v="22"/>
    <n v="513.38"/>
  </r>
  <r>
    <s v="CUST012"/>
    <s v="Michael Anderson"/>
    <x v="0"/>
    <x v="0"/>
    <n v="472.38"/>
    <n v="12"/>
    <n v="0.2"/>
    <x v="22"/>
    <n v="151.16"/>
  </r>
  <r>
    <s v="CUST019"/>
    <s v="David Brown"/>
    <x v="1"/>
    <x v="4"/>
    <n v="840.92"/>
    <n v="9"/>
    <n v="0.05"/>
    <x v="22"/>
    <n v="359.49"/>
  </r>
  <r>
    <s v="CUST028"/>
    <s v="Lisa Davis"/>
    <x v="4"/>
    <x v="3"/>
    <n v="1410.06"/>
    <n v="11"/>
    <n v="0.05"/>
    <x v="23"/>
    <n v="468.84"/>
  </r>
  <r>
    <s v="CUST008"/>
    <s v="Mary Wilson"/>
    <x v="4"/>
    <x v="3"/>
    <n v="773.09"/>
    <n v="13"/>
    <n v="0.15"/>
    <x v="23"/>
    <n v="229.99"/>
  </r>
  <r>
    <s v="CUST016"/>
    <s v="Emma Wilson"/>
    <x v="1"/>
    <x v="0"/>
    <n v="580.42999999999995"/>
    <n v="19"/>
    <n v="0.15"/>
    <x v="24"/>
    <n v="197.35"/>
  </r>
  <r>
    <s v="CUST005"/>
    <s v="David Smith"/>
    <x v="2"/>
    <x v="0"/>
    <n v="1151.21"/>
    <n v="15"/>
    <n v="0.1"/>
    <x v="25"/>
    <n v="414.44"/>
  </r>
  <r>
    <s v="CUST028"/>
    <s v="James Wilson"/>
    <x v="4"/>
    <x v="4"/>
    <n v="1025.98"/>
    <n v="5"/>
    <n v="0.2"/>
    <x v="26"/>
    <n v="369.35"/>
  </r>
  <r>
    <s v="CUST023"/>
    <s v="David Davis"/>
    <x v="1"/>
    <x v="4"/>
    <n v="556.41999999999996"/>
    <n v="11"/>
    <n v="0.15"/>
    <x v="26"/>
    <n v="212.83"/>
  </r>
  <r>
    <s v="CUST021"/>
    <s v="James Wilson"/>
    <x v="4"/>
    <x v="0"/>
    <n v="840.85"/>
    <n v="19"/>
    <n v="0.1"/>
    <x v="27"/>
    <n v="302.70999999999998"/>
  </r>
  <r>
    <s v="CUST026"/>
    <s v="Emma Wilson"/>
    <x v="3"/>
    <x v="3"/>
    <n v="1227.25"/>
    <n v="12"/>
    <n v="0.15"/>
    <x v="27"/>
    <n v="365.11"/>
  </r>
  <r>
    <s v="CUST017"/>
    <s v="Linda Davis"/>
    <x v="4"/>
    <x v="2"/>
    <n v="856.7"/>
    <n v="2"/>
    <n v="0"/>
    <x v="28"/>
    <n v="214.18"/>
  </r>
  <r>
    <s v="CUST025"/>
    <s v="David Davis"/>
    <x v="4"/>
    <x v="4"/>
    <n v="1225.42"/>
    <n v="8"/>
    <n v="0.15"/>
    <x v="28"/>
    <n v="468.72"/>
  </r>
  <r>
    <s v="CUST011"/>
    <s v="Mary Davis"/>
    <x v="3"/>
    <x v="4"/>
    <n v="1001.57"/>
    <n v="12"/>
    <n v="0"/>
    <x v="29"/>
    <n v="450.71"/>
  </r>
  <r>
    <s v="CUST021"/>
    <s v="Michael Anderson"/>
    <x v="1"/>
    <x v="3"/>
    <n v="1186.8499999999999"/>
    <n v="19"/>
    <n v="0.2"/>
    <x v="30"/>
    <n v="332.32"/>
  </r>
  <r>
    <s v="CUST008"/>
    <s v="John Brown"/>
    <x v="2"/>
    <x v="2"/>
    <n v="775.45"/>
    <n v="6"/>
    <n v="0.1"/>
    <x v="31"/>
    <n v="174.48"/>
  </r>
  <r>
    <s v="CUST007"/>
    <s v="Linda Jackson"/>
    <x v="2"/>
    <x v="2"/>
    <n v="1021.47"/>
    <n v="6"/>
    <n v="0.05"/>
    <x v="32"/>
    <n v="242.6"/>
  </r>
  <r>
    <s v="CUST015"/>
    <s v="James Wilson"/>
    <x v="2"/>
    <x v="1"/>
    <n v="1226.6199999999999"/>
    <n v="7"/>
    <n v="0.1"/>
    <x v="33"/>
    <n v="551.98"/>
  </r>
  <r>
    <s v="CUST030"/>
    <s v="Sarah Davis"/>
    <x v="2"/>
    <x v="3"/>
    <n v="1086.93"/>
    <n v="2"/>
    <n v="0"/>
    <x v="34"/>
    <n v="380.43"/>
  </r>
  <r>
    <s v="CUST002"/>
    <s v="Lisa Davis"/>
    <x v="0"/>
    <x v="0"/>
    <n v="942.9"/>
    <n v="18"/>
    <n v="0.1"/>
    <x v="35"/>
    <n v="339.44"/>
  </r>
  <r>
    <s v="CUST009"/>
    <s v="Emma Davis"/>
    <x v="3"/>
    <x v="2"/>
    <n v="818.8"/>
    <n v="15"/>
    <n v="0.15"/>
    <x v="36"/>
    <n v="173.99"/>
  </r>
  <r>
    <s v="CUST005"/>
    <s v="Robert Anderson"/>
    <x v="2"/>
    <x v="3"/>
    <n v="919.04"/>
    <n v="10"/>
    <n v="0.2"/>
    <x v="36"/>
    <n v="257.33"/>
  </r>
  <r>
    <s v="CUST030"/>
    <s v="Emma Taylor"/>
    <x v="4"/>
    <x v="0"/>
    <n v="973.26"/>
    <n v="11"/>
    <n v="0"/>
    <x v="37"/>
    <n v="389.3"/>
  </r>
  <r>
    <s v="CUST029"/>
    <s v="Sarah Davis"/>
    <x v="3"/>
    <x v="2"/>
    <n v="741.61"/>
    <n v="1"/>
    <n v="0.2"/>
    <x v="38"/>
    <n v="148.32"/>
  </r>
  <r>
    <s v="CUST003"/>
    <s v="Emma Davis"/>
    <x v="3"/>
    <x v="0"/>
    <n v="1248.82"/>
    <n v="2"/>
    <n v="0.1"/>
    <x v="39"/>
    <n v="449.58"/>
  </r>
  <r>
    <s v="CUST012"/>
    <s v="Mary Wilson"/>
    <x v="0"/>
    <x v="1"/>
    <n v="1360.36"/>
    <n v="17"/>
    <n v="0"/>
    <x v="39"/>
    <n v="680.18"/>
  </r>
  <r>
    <s v="CUST021"/>
    <s v="Mary Davis"/>
    <x v="1"/>
    <x v="0"/>
    <n v="1383.3"/>
    <n v="8"/>
    <n v="0.1"/>
    <x v="40"/>
    <n v="497.99"/>
  </r>
  <r>
    <s v="CUST010"/>
    <s v="David Brown"/>
    <x v="4"/>
    <x v="4"/>
    <n v="488.99"/>
    <n v="9"/>
    <n v="0"/>
    <x v="41"/>
    <n v="220.05"/>
  </r>
  <r>
    <s v="CUST026"/>
    <s v="Mary Davis"/>
    <x v="1"/>
    <x v="3"/>
    <n v="933.71"/>
    <n v="17"/>
    <n v="0.1"/>
    <x v="42"/>
    <n v="294.12"/>
  </r>
  <r>
    <s v="CUST003"/>
    <s v="James Davis"/>
    <x v="0"/>
    <x v="2"/>
    <n v="1005.53"/>
    <n v="17"/>
    <n v="0.2"/>
    <x v="42"/>
    <n v="201.11"/>
  </r>
  <r>
    <s v="CUST029"/>
    <s v="Emma Wilson"/>
    <x v="2"/>
    <x v="2"/>
    <n v="1100.0999999999999"/>
    <n v="5"/>
    <n v="0.05"/>
    <x v="43"/>
    <n v="261.27"/>
  </r>
  <r>
    <s v="CUST003"/>
    <s v="James Wilson"/>
    <x v="3"/>
    <x v="3"/>
    <n v="1034.7"/>
    <n v="15"/>
    <n v="0.15"/>
    <x v="44"/>
    <n v="307.82"/>
  </r>
  <r>
    <s v="CUST002"/>
    <s v="Mary Davis"/>
    <x v="2"/>
    <x v="0"/>
    <n v="876.44"/>
    <n v="12"/>
    <n v="0.05"/>
    <x v="45"/>
    <n v="333.05"/>
  </r>
  <r>
    <s v="CUST020"/>
    <s v="David Brown"/>
    <x v="0"/>
    <x v="3"/>
    <n v="1371.34"/>
    <n v="5"/>
    <n v="0.05"/>
    <x v="45"/>
    <n v="455.97"/>
  </r>
  <r>
    <s v="CUST021"/>
    <s v="Mary Jackson"/>
    <x v="3"/>
    <x v="2"/>
    <n v="1020.26"/>
    <n v="11"/>
    <n v="0.05"/>
    <x v="46"/>
    <n v="242.31"/>
  </r>
  <r>
    <s v="CUST008"/>
    <s v="James Davis"/>
    <x v="4"/>
    <x v="4"/>
    <n v="804.81"/>
    <n v="1"/>
    <n v="0.05"/>
    <x v="47"/>
    <n v="344.06"/>
  </r>
  <r>
    <s v="CUST030"/>
    <s v="David Brown"/>
    <x v="4"/>
    <x v="2"/>
    <n v="608.66"/>
    <n v="1"/>
    <n v="0.05"/>
    <x v="48"/>
    <n v="144.56"/>
  </r>
  <r>
    <s v="CUST020"/>
    <s v="Linda Moore"/>
    <x v="2"/>
    <x v="4"/>
    <n v="981.2"/>
    <n v="19"/>
    <n v="0"/>
    <x v="49"/>
    <n v="441.54"/>
  </r>
  <r>
    <s v="CUST024"/>
    <s v="David Brown"/>
    <x v="1"/>
    <x v="2"/>
    <n v="539.77"/>
    <n v="10"/>
    <n v="0.15"/>
    <x v="50"/>
    <n v="114.7"/>
  </r>
  <r>
    <s v="CUST012"/>
    <s v="David Anderson"/>
    <x v="2"/>
    <x v="0"/>
    <n v="804.45"/>
    <n v="5"/>
    <n v="0.2"/>
    <x v="50"/>
    <n v="257.42"/>
  </r>
  <r>
    <s v="CUST024"/>
    <s v="Emma Davis"/>
    <x v="0"/>
    <x v="2"/>
    <n v="1526.6"/>
    <n v="13"/>
    <n v="0.2"/>
    <x v="51"/>
    <n v="305.32"/>
  </r>
  <r>
    <s v="CUST012"/>
    <s v="Linda Wilson"/>
    <x v="0"/>
    <x v="2"/>
    <n v="1215.26"/>
    <n v="5"/>
    <n v="0.15"/>
    <x v="52"/>
    <n v="258.24"/>
  </r>
  <r>
    <s v="CUST005"/>
    <s v="Linda Taylor"/>
    <x v="4"/>
    <x v="3"/>
    <n v="1261.3399999999999"/>
    <n v="3"/>
    <n v="0"/>
    <x v="53"/>
    <n v="441.47"/>
  </r>
  <r>
    <s v="CUST004"/>
    <s v="Lisa Thomas"/>
    <x v="3"/>
    <x v="3"/>
    <n v="518.07000000000005"/>
    <n v="7"/>
    <n v="0.05"/>
    <x v="54"/>
    <n v="172.26"/>
  </r>
  <r>
    <s v="CUST026"/>
    <s v="Linda Wilson"/>
    <x v="0"/>
    <x v="4"/>
    <n v="1111.3399999999999"/>
    <n v="1"/>
    <n v="0"/>
    <x v="55"/>
    <n v="500.1"/>
  </r>
  <r>
    <s v="CUST030"/>
    <s v="Mary Davis"/>
    <x v="1"/>
    <x v="1"/>
    <n v="1291.47"/>
    <n v="18"/>
    <n v="0.1"/>
    <x v="56"/>
    <n v="581.16"/>
  </r>
  <r>
    <s v="CUST007"/>
    <s v="David Brown"/>
    <x v="3"/>
    <x v="0"/>
    <n v="679.71"/>
    <n v="19"/>
    <n v="0"/>
    <x v="57"/>
    <n v="271.88"/>
  </r>
  <r>
    <s v="CUST020"/>
    <s v="Linda Jackson"/>
    <x v="1"/>
    <x v="3"/>
    <n v="1143.69"/>
    <n v="17"/>
    <n v="0"/>
    <x v="57"/>
    <n v="400.29"/>
  </r>
  <r>
    <s v="CUST028"/>
    <s v="Linda Brown"/>
    <x v="4"/>
    <x v="2"/>
    <n v="790.08"/>
    <n v="7"/>
    <n v="0.1"/>
    <x v="58"/>
    <n v="177.77"/>
  </r>
  <r>
    <s v="CUST005"/>
    <s v="Lisa Davis"/>
    <x v="4"/>
    <x v="0"/>
    <n v="1070.68"/>
    <n v="7"/>
    <n v="0.05"/>
    <x v="58"/>
    <n v="406.86"/>
  </r>
  <r>
    <s v="CUST015"/>
    <s v="David Thomas"/>
    <x v="0"/>
    <x v="1"/>
    <n v="1168.8900000000001"/>
    <n v="4"/>
    <n v="0.1"/>
    <x v="59"/>
    <n v="526"/>
  </r>
  <r>
    <s v="CUST003"/>
    <s v="James Davis"/>
    <x v="2"/>
    <x v="2"/>
    <n v="1335.87"/>
    <n v="17"/>
    <n v="0"/>
    <x v="59"/>
    <n v="333.97"/>
  </r>
  <r>
    <s v="CUST023"/>
    <s v="David Brown"/>
    <x v="1"/>
    <x v="3"/>
    <n v="873.7"/>
    <n v="9"/>
    <n v="0"/>
    <x v="60"/>
    <n v="305.8"/>
  </r>
  <r>
    <s v="CUST004"/>
    <s v="Sarah Davis"/>
    <x v="0"/>
    <x v="4"/>
    <n v="1443.98"/>
    <n v="19"/>
    <n v="0"/>
    <x v="61"/>
    <n v="649.79"/>
  </r>
  <r>
    <s v="CUST023"/>
    <s v="James Wilson"/>
    <x v="1"/>
    <x v="4"/>
    <n v="1154.33"/>
    <n v="11"/>
    <n v="0.15"/>
    <x v="62"/>
    <n v="441.53"/>
  </r>
  <r>
    <s v="CUST022"/>
    <s v="Linda Brown"/>
    <x v="2"/>
    <x v="0"/>
    <n v="1264.49"/>
    <n v="16"/>
    <n v="0.05"/>
    <x v="62"/>
    <n v="480.51"/>
  </r>
  <r>
    <s v="CUST007"/>
    <s v="Emma Taylor"/>
    <x v="0"/>
    <x v="3"/>
    <n v="1101.55"/>
    <n v="4"/>
    <n v="0.1"/>
    <x v="63"/>
    <n v="346.99"/>
  </r>
  <r>
    <s v="CUST013"/>
    <s v="Robert Anderson"/>
    <x v="2"/>
    <x v="3"/>
    <n v="727.73"/>
    <n v="1"/>
    <n v="0.1"/>
    <x v="64"/>
    <n v="229.23"/>
  </r>
  <r>
    <s v="CUST027"/>
    <s v="Emma Davis"/>
    <x v="1"/>
    <x v="4"/>
    <n v="875.41"/>
    <n v="13"/>
    <n v="0.15"/>
    <x v="64"/>
    <n v="334.84"/>
  </r>
  <r>
    <s v="CUST003"/>
    <s v="James Wilson"/>
    <x v="0"/>
    <x v="2"/>
    <n v="1158.94"/>
    <n v="19"/>
    <n v="0.2"/>
    <x v="65"/>
    <n v="231.79"/>
  </r>
  <r>
    <s v="CUST018"/>
    <s v="Mary Jackson"/>
    <x v="2"/>
    <x v="0"/>
    <n v="966.3"/>
    <n v="2"/>
    <n v="0.15"/>
    <x v="66"/>
    <n v="328.54"/>
  </r>
  <r>
    <s v="CUST020"/>
    <s v="James Taylor"/>
    <x v="2"/>
    <x v="0"/>
    <n v="917.48"/>
    <n v="6"/>
    <n v="0"/>
    <x v="67"/>
    <n v="366.99"/>
  </r>
  <r>
    <s v="CUST029"/>
    <s v="Emma Wilson"/>
    <x v="0"/>
    <x v="3"/>
    <n v="1172.97"/>
    <n v="7"/>
    <n v="0.15"/>
    <x v="68"/>
    <n v="348.96"/>
  </r>
  <r>
    <s v="CUST021"/>
    <s v="James Wilson"/>
    <x v="3"/>
    <x v="1"/>
    <n v="1205.82"/>
    <n v="11"/>
    <n v="0.1"/>
    <x v="68"/>
    <n v="542.62"/>
  </r>
  <r>
    <s v="CUST017"/>
    <s v="Sarah Davis"/>
    <x v="0"/>
    <x v="4"/>
    <n v="826.93"/>
    <n v="10"/>
    <n v="0.2"/>
    <x v="69"/>
    <n v="297.69"/>
  </r>
  <r>
    <s v="CUST003"/>
    <s v="James Wilson"/>
    <x v="4"/>
    <x v="1"/>
    <n v="902.19"/>
    <n v="12"/>
    <n v="0"/>
    <x v="69"/>
    <n v="451.1"/>
  </r>
  <r>
    <s v="CUST027"/>
    <s v="Emma Davis"/>
    <x v="3"/>
    <x v="0"/>
    <n v="585.97"/>
    <n v="17"/>
    <n v="0.1"/>
    <x v="70"/>
    <n v="210.95"/>
  </r>
  <r>
    <s v="CUST016"/>
    <s v="Michael Anderson"/>
    <x v="3"/>
    <x v="1"/>
    <n v="990.19"/>
    <n v="8"/>
    <n v="0.1"/>
    <x v="70"/>
    <n v="445.59"/>
  </r>
  <r>
    <s v="CUST008"/>
    <s v="David Davis"/>
    <x v="4"/>
    <x v="2"/>
    <n v="1014.09"/>
    <n v="13"/>
    <n v="0.2"/>
    <x v="71"/>
    <n v="202.82"/>
  </r>
  <r>
    <s v="CUST012"/>
    <s v="Lisa Davis"/>
    <x v="3"/>
    <x v="2"/>
    <n v="925.29"/>
    <n v="17"/>
    <n v="0"/>
    <x v="72"/>
    <n v="231.32"/>
  </r>
  <r>
    <s v="CUST025"/>
    <s v="Mary Jackson"/>
    <x v="1"/>
    <x v="3"/>
    <n v="1286.54"/>
    <n v="8"/>
    <n v="0"/>
    <x v="73"/>
    <n v="450.29"/>
  </r>
  <r>
    <s v="CUST014"/>
    <s v="Sarah Davis"/>
    <x v="2"/>
    <x v="0"/>
    <n v="961.62"/>
    <n v="8"/>
    <n v="0.2"/>
    <x v="74"/>
    <n v="307.72000000000003"/>
  </r>
  <r>
    <s v="CUST008"/>
    <s v="James Wilson"/>
    <x v="1"/>
    <x v="0"/>
    <n v="1081.1400000000001"/>
    <n v="19"/>
    <n v="0.15"/>
    <x v="74"/>
    <n v="367.59"/>
  </r>
  <r>
    <s v="CUST015"/>
    <s v="James Wilson"/>
    <x v="0"/>
    <x v="1"/>
    <n v="1923.66"/>
    <n v="9"/>
    <n v="0.2"/>
    <x v="75"/>
    <n v="769.46"/>
  </r>
  <r>
    <s v="CUST025"/>
    <s v="Emma Taylor"/>
    <x v="4"/>
    <x v="1"/>
    <n v="728.71"/>
    <n v="14"/>
    <n v="0.1"/>
    <x v="76"/>
    <n v="327.92"/>
  </r>
  <r>
    <s v="CUST019"/>
    <s v="Linda Jackson"/>
    <x v="4"/>
    <x v="1"/>
    <n v="1301.8900000000001"/>
    <n v="7"/>
    <n v="0.15"/>
    <x v="76"/>
    <n v="553.29999999999995"/>
  </r>
  <r>
    <s v="CUST024"/>
    <s v="Emma Taylor"/>
    <x v="1"/>
    <x v="0"/>
    <n v="980.18"/>
    <n v="16"/>
    <n v="0.1"/>
    <x v="77"/>
    <n v="352.86"/>
  </r>
  <r>
    <s v="CUST027"/>
    <s v="James Wilson"/>
    <x v="0"/>
    <x v="1"/>
    <n v="697.57"/>
    <n v="17"/>
    <n v="0.1"/>
    <x v="78"/>
    <n v="313.91000000000003"/>
  </r>
  <r>
    <s v="CUST006"/>
    <s v="David Anderson"/>
    <x v="0"/>
    <x v="3"/>
    <n v="1193.6099999999999"/>
    <n v="1"/>
    <n v="0.15"/>
    <x v="78"/>
    <n v="355.1"/>
  </r>
  <r>
    <s v="CUST009"/>
    <s v="Emma Davis"/>
    <x v="2"/>
    <x v="2"/>
    <n v="771.02"/>
    <n v="1"/>
    <n v="0"/>
    <x v="79"/>
    <n v="192.76"/>
  </r>
  <r>
    <s v="CUST003"/>
    <s v="Linda Moore"/>
    <x v="3"/>
    <x v="1"/>
    <n v="661.09"/>
    <n v="1"/>
    <n v="0.2"/>
    <x v="80"/>
    <n v="264.44"/>
  </r>
  <r>
    <s v="CUST012"/>
    <s v="David Brown"/>
    <x v="0"/>
    <x v="2"/>
    <n v="688.83"/>
    <n v="15"/>
    <n v="0"/>
    <x v="81"/>
    <n v="172.21"/>
  </r>
  <r>
    <s v="CUST013"/>
    <s v="Linda Wilson"/>
    <x v="4"/>
    <x v="0"/>
    <n v="1249.0999999999999"/>
    <n v="4"/>
    <n v="0.05"/>
    <x v="82"/>
    <n v="474.66"/>
  </r>
  <r>
    <s v="CUST008"/>
    <s v="James Wilson"/>
    <x v="1"/>
    <x v="4"/>
    <n v="1014.22"/>
    <n v="14"/>
    <n v="0.05"/>
    <x v="83"/>
    <n v="433.58"/>
  </r>
  <r>
    <s v="CUST025"/>
    <s v="Lisa Davis"/>
    <x v="1"/>
    <x v="0"/>
    <n v="1010.58"/>
    <n v="2"/>
    <n v="0.15"/>
    <x v="84"/>
    <n v="343.6"/>
  </r>
  <r>
    <s v="CUST026"/>
    <s v="Mary Wilson"/>
    <x v="3"/>
    <x v="3"/>
    <n v="957.29"/>
    <n v="4"/>
    <n v="0.05"/>
    <x v="84"/>
    <n v="318.3"/>
  </r>
  <r>
    <s v="CUST001"/>
    <s v="Lisa Thomas"/>
    <x v="3"/>
    <x v="3"/>
    <n v="1077.92"/>
    <n v="3"/>
    <n v="0.05"/>
    <x v="85"/>
    <n v="358.41"/>
  </r>
  <r>
    <s v="CUST028"/>
    <s v="Linda Brown"/>
    <x v="2"/>
    <x v="1"/>
    <n v="1163.01"/>
    <n v="5"/>
    <n v="0"/>
    <x v="86"/>
    <n v="581.5"/>
  </r>
  <r>
    <s v="CUST025"/>
    <s v="Lisa Thomas"/>
    <x v="1"/>
    <x v="4"/>
    <n v="1014.56"/>
    <n v="10"/>
    <n v="0.1"/>
    <x v="87"/>
    <n v="410.9"/>
  </r>
  <r>
    <s v="CUST019"/>
    <s v="James Taylor"/>
    <x v="2"/>
    <x v="2"/>
    <n v="718.04"/>
    <n v="14"/>
    <n v="0"/>
    <x v="88"/>
    <n v="179.51"/>
  </r>
  <r>
    <s v="CUST004"/>
    <s v="James Taylor"/>
    <x v="4"/>
    <x v="1"/>
    <n v="1277.8499999999999"/>
    <n v="18"/>
    <n v="0.2"/>
    <x v="88"/>
    <n v="511.14"/>
  </r>
  <r>
    <s v="CUST024"/>
    <s v="James Wilson"/>
    <x v="3"/>
    <x v="2"/>
    <n v="706.73"/>
    <n v="1"/>
    <n v="0.15"/>
    <x v="88"/>
    <n v="150.18"/>
  </r>
  <r>
    <s v="CUST002"/>
    <s v="Linda Brown"/>
    <x v="1"/>
    <x v="2"/>
    <n v="1410.59"/>
    <n v="15"/>
    <n v="0"/>
    <x v="89"/>
    <n v="352.65"/>
  </r>
  <r>
    <s v="CUST009"/>
    <s v="Emma Wilson"/>
    <x v="2"/>
    <x v="3"/>
    <n v="1350.33"/>
    <n v="10"/>
    <n v="0"/>
    <x v="89"/>
    <n v="472.62"/>
  </r>
  <r>
    <s v="CUST029"/>
    <s v="Lisa Thomas"/>
    <x v="1"/>
    <x v="2"/>
    <n v="919.18"/>
    <n v="4"/>
    <n v="0.15"/>
    <x v="89"/>
    <n v="195.33"/>
  </r>
  <r>
    <s v="CUST027"/>
    <s v="James Wilson"/>
    <x v="0"/>
    <x v="2"/>
    <n v="258.51"/>
    <n v="19"/>
    <n v="0"/>
    <x v="90"/>
    <n v="64.63"/>
  </r>
  <r>
    <s v="CUST011"/>
    <s v="Emma Wilson"/>
    <x v="1"/>
    <x v="0"/>
    <n v="1213.48"/>
    <n v="5"/>
    <n v="0.05"/>
    <x v="90"/>
    <n v="461.12"/>
  </r>
  <r>
    <s v="CUST021"/>
    <s v="Emma Davis"/>
    <x v="4"/>
    <x v="0"/>
    <n v="1150.28"/>
    <n v="8"/>
    <n v="0.05"/>
    <x v="91"/>
    <n v="437.11"/>
  </r>
  <r>
    <s v="CUST014"/>
    <s v="David Anderson"/>
    <x v="2"/>
    <x v="3"/>
    <n v="853.86"/>
    <n v="8"/>
    <n v="0.1"/>
    <x v="91"/>
    <n v="268.97000000000003"/>
  </r>
  <r>
    <s v="CUST018"/>
    <s v="Lisa Thomas"/>
    <x v="2"/>
    <x v="2"/>
    <n v="1061.04"/>
    <n v="1"/>
    <n v="0"/>
    <x v="92"/>
    <n v="265.26"/>
  </r>
  <r>
    <s v="CUST001"/>
    <s v="Sarah Anderson"/>
    <x v="0"/>
    <x v="2"/>
    <n v="894.55"/>
    <n v="19"/>
    <n v="0.2"/>
    <x v="93"/>
    <n v="178.91"/>
  </r>
  <r>
    <s v="CUST007"/>
    <s v="Emma Davis"/>
    <x v="3"/>
    <x v="4"/>
    <n v="833.91"/>
    <n v="3"/>
    <n v="0.05"/>
    <x v="94"/>
    <n v="356.5"/>
  </r>
  <r>
    <s v="CUST015"/>
    <s v="David Anderson"/>
    <x v="0"/>
    <x v="3"/>
    <n v="820.19"/>
    <n v="4"/>
    <n v="0.2"/>
    <x v="95"/>
    <n v="229.65"/>
  </r>
  <r>
    <s v="CUST015"/>
    <s v="Emma Davis"/>
    <x v="4"/>
    <x v="2"/>
    <n v="511.74"/>
    <n v="8"/>
    <n v="0.05"/>
    <x v="96"/>
    <n v="121.54"/>
  </r>
  <r>
    <s v="CUST002"/>
    <s v="Emma Wilson"/>
    <x v="2"/>
    <x v="3"/>
    <n v="806.03"/>
    <n v="19"/>
    <n v="0.05"/>
    <x v="97"/>
    <n v="268"/>
  </r>
  <r>
    <s v="CUST001"/>
    <s v="Michael Anderson"/>
    <x v="4"/>
    <x v="3"/>
    <n v="1432.47"/>
    <n v="16"/>
    <n v="0.15"/>
    <x v="98"/>
    <n v="426.16"/>
  </r>
  <r>
    <s v="CUST027"/>
    <s v="Linda Wilson"/>
    <x v="4"/>
    <x v="2"/>
    <n v="1488.58"/>
    <n v="10"/>
    <n v="0.15"/>
    <x v="98"/>
    <n v="316.32"/>
  </r>
  <r>
    <s v="CUST026"/>
    <s v="Emma Taylor"/>
    <x v="1"/>
    <x v="0"/>
    <n v="1231.26"/>
    <n v="9"/>
    <n v="0"/>
    <x v="99"/>
    <n v="492.5"/>
  </r>
  <r>
    <s v="CUST026"/>
    <s v="Sarah Anderson"/>
    <x v="0"/>
    <x v="2"/>
    <n v="1161.67"/>
    <n v="19"/>
    <n v="0.2"/>
    <x v="100"/>
    <n v="232.33"/>
  </r>
  <r>
    <s v="CUST022"/>
    <s v="Lisa Thomas"/>
    <x v="4"/>
    <x v="4"/>
    <n v="388.23"/>
    <n v="16"/>
    <n v="0.05"/>
    <x v="101"/>
    <n v="165.97"/>
  </r>
  <r>
    <s v="CUST004"/>
    <s v="Mary Davis"/>
    <x v="3"/>
    <x v="1"/>
    <n v="1589.42"/>
    <n v="6"/>
    <n v="0.15"/>
    <x v="102"/>
    <n v="675.5"/>
  </r>
  <r>
    <s v="CUST001"/>
    <s v="David Anderson"/>
    <x v="3"/>
    <x v="1"/>
    <n v="336.66"/>
    <n v="13"/>
    <n v="0.2"/>
    <x v="102"/>
    <n v="134.66"/>
  </r>
  <r>
    <s v="CUST022"/>
    <s v="James Wilson"/>
    <x v="0"/>
    <x v="0"/>
    <n v="1353.79"/>
    <n v="14"/>
    <n v="0.1"/>
    <x v="103"/>
    <n v="487.36"/>
  </r>
  <r>
    <s v="CUST011"/>
    <s v="Linda Moore"/>
    <x v="4"/>
    <x v="1"/>
    <n v="662.61"/>
    <n v="11"/>
    <n v="0.05"/>
    <x v="104"/>
    <n v="314.74"/>
  </r>
  <r>
    <s v="CUST028"/>
    <s v="Lisa Davis"/>
    <x v="3"/>
    <x v="4"/>
    <n v="309.42"/>
    <n v="1"/>
    <n v="0.2"/>
    <x v="104"/>
    <n v="111.39"/>
  </r>
  <r>
    <s v="CUST011"/>
    <s v="Linda Wilson"/>
    <x v="3"/>
    <x v="0"/>
    <n v="884.63"/>
    <n v="18"/>
    <n v="0.1"/>
    <x v="105"/>
    <n v="318.47000000000003"/>
  </r>
  <r>
    <s v="CUST028"/>
    <s v="James Wilson"/>
    <x v="4"/>
    <x v="4"/>
    <n v="745.05"/>
    <n v="10"/>
    <n v="0.1"/>
    <x v="106"/>
    <n v="301.75"/>
  </r>
  <r>
    <s v="CUST016"/>
    <s v="James Taylor"/>
    <x v="2"/>
    <x v="1"/>
    <n v="870.23"/>
    <n v="5"/>
    <n v="0.05"/>
    <x v="106"/>
    <n v="413.36"/>
  </r>
  <r>
    <s v="CUST010"/>
    <s v="Linda Wilson"/>
    <x v="0"/>
    <x v="3"/>
    <n v="862.19"/>
    <n v="18"/>
    <n v="0.05"/>
    <x v="107"/>
    <n v="286.68"/>
  </r>
  <r>
    <s v="CUST013"/>
    <s v="Mary Wilson"/>
    <x v="3"/>
    <x v="1"/>
    <n v="1171.18"/>
    <n v="19"/>
    <n v="0.05"/>
    <x v="108"/>
    <n v="556.30999999999995"/>
  </r>
  <r>
    <s v="CUST015"/>
    <s v="Robert Anderson"/>
    <x v="2"/>
    <x v="3"/>
    <n v="1054.56"/>
    <n v="11"/>
    <n v="0.1"/>
    <x v="109"/>
    <n v="332.19"/>
  </r>
  <r>
    <s v="CUST015"/>
    <s v="James Wilson"/>
    <x v="3"/>
    <x v="2"/>
    <n v="1681.21"/>
    <n v="5"/>
    <n v="0.2"/>
    <x v="110"/>
    <n v="336.24"/>
  </r>
  <r>
    <s v="CUST015"/>
    <s v="David Thomas"/>
    <x v="0"/>
    <x v="1"/>
    <n v="379.77"/>
    <n v="9"/>
    <n v="0.05"/>
    <x v="111"/>
    <n v="180.39"/>
  </r>
  <r>
    <s v="CUST008"/>
    <s v="Lisa Thomas"/>
    <x v="4"/>
    <x v="1"/>
    <n v="1076.33"/>
    <n v="2"/>
    <n v="0.1"/>
    <x v="112"/>
    <n v="484.35"/>
  </r>
  <r>
    <s v="CUST008"/>
    <s v="Mary Davis"/>
    <x v="4"/>
    <x v="4"/>
    <n v="1250.71"/>
    <n v="7"/>
    <n v="0"/>
    <x v="112"/>
    <n v="562.82000000000005"/>
  </r>
  <r>
    <s v="CUST023"/>
    <s v="James Taylor"/>
    <x v="2"/>
    <x v="1"/>
    <n v="1118.3399999999999"/>
    <n v="6"/>
    <n v="0.2"/>
    <x v="112"/>
    <n v="447.34"/>
  </r>
  <r>
    <s v="CUST024"/>
    <s v="Linda Taylor"/>
    <x v="3"/>
    <x v="1"/>
    <n v="1622.62"/>
    <n v="12"/>
    <n v="0.2"/>
    <x v="113"/>
    <n v="649.04999999999995"/>
  </r>
  <r>
    <s v="CUST018"/>
    <s v="Lisa Davis"/>
    <x v="3"/>
    <x v="0"/>
    <n v="640.64"/>
    <n v="11"/>
    <n v="0.2"/>
    <x v="114"/>
    <n v="205"/>
  </r>
  <r>
    <s v="CUST030"/>
    <s v="Sarah Anderson"/>
    <x v="0"/>
    <x v="1"/>
    <n v="585.16"/>
    <n v="17"/>
    <n v="0.1"/>
    <x v="115"/>
    <n v="263.32"/>
  </r>
  <r>
    <s v="CUST030"/>
    <s v="Mary Davis"/>
    <x v="1"/>
    <x v="1"/>
    <n v="1109.98"/>
    <n v="5"/>
    <n v="0.2"/>
    <x v="116"/>
    <n v="443.99"/>
  </r>
  <r>
    <s v="CUST015"/>
    <s v="Lisa Thomas"/>
    <x v="1"/>
    <x v="0"/>
    <n v="1098.08"/>
    <n v="9"/>
    <n v="0.1"/>
    <x v="117"/>
    <n v="395.31"/>
  </r>
  <r>
    <s v="CUST002"/>
    <s v="Lisa Davis"/>
    <x v="0"/>
    <x v="4"/>
    <n v="827.25"/>
    <n v="7"/>
    <n v="0.1"/>
    <x v="118"/>
    <n v="335.04"/>
  </r>
  <r>
    <s v="CUST024"/>
    <s v="Linda Wilson"/>
    <x v="4"/>
    <x v="1"/>
    <n v="741.88"/>
    <n v="16"/>
    <n v="0.1"/>
    <x v="119"/>
    <n v="333.85"/>
  </r>
  <r>
    <s v="CUST004"/>
    <s v="James Davis"/>
    <x v="1"/>
    <x v="4"/>
    <n v="1311.26"/>
    <n v="6"/>
    <n v="0.1"/>
    <x v="120"/>
    <n v="531.05999999999995"/>
  </r>
  <r>
    <s v="CUST004"/>
    <s v="Mary Davis"/>
    <x v="2"/>
    <x v="4"/>
    <n v="573.32000000000005"/>
    <n v="19"/>
    <n v="0.1"/>
    <x v="121"/>
    <n v="232.19"/>
  </r>
  <r>
    <s v="CUST028"/>
    <s v="James Wilson"/>
    <x v="0"/>
    <x v="2"/>
    <n v="1115.22"/>
    <n v="14"/>
    <n v="0.2"/>
    <x v="122"/>
    <n v="223.04"/>
  </r>
  <r>
    <s v="CUST012"/>
    <s v="Lisa Thomas"/>
    <x v="3"/>
    <x v="1"/>
    <n v="845.84"/>
    <n v="4"/>
    <n v="0"/>
    <x v="123"/>
    <n v="422.92"/>
  </r>
  <r>
    <s v="CUST026"/>
    <s v="David Brown"/>
    <x v="0"/>
    <x v="2"/>
    <n v="1029.8"/>
    <n v="3"/>
    <n v="0"/>
    <x v="124"/>
    <n v="257.45"/>
  </r>
  <r>
    <s v="CUST009"/>
    <s v="Mary Davis"/>
    <x v="3"/>
    <x v="0"/>
    <n v="1189.83"/>
    <n v="2"/>
    <n v="0.2"/>
    <x v="125"/>
    <n v="380.75"/>
  </r>
  <r>
    <s v="CUST003"/>
    <s v="Sarah Anderson"/>
    <x v="2"/>
    <x v="0"/>
    <n v="704.28"/>
    <n v="15"/>
    <n v="0.2"/>
    <x v="126"/>
    <n v="225.37"/>
  </r>
  <r>
    <s v="CUST002"/>
    <s v="Mary Jackson"/>
    <x v="4"/>
    <x v="4"/>
    <n v="1618.22"/>
    <n v="12"/>
    <n v="0.2"/>
    <x v="126"/>
    <n v="582.55999999999995"/>
  </r>
  <r>
    <s v="CUST013"/>
    <s v="Linda Taylor"/>
    <x v="4"/>
    <x v="0"/>
    <n v="1014.43"/>
    <n v="2"/>
    <n v="0.15"/>
    <x v="127"/>
    <n v="344.91"/>
  </r>
  <r>
    <s v="CUST018"/>
    <s v="Mary Davis"/>
    <x v="4"/>
    <x v="1"/>
    <n v="826.97"/>
    <n v="18"/>
    <n v="0.2"/>
    <x v="128"/>
    <n v="330.79"/>
  </r>
  <r>
    <s v="CUST017"/>
    <s v="Mary Davis"/>
    <x v="4"/>
    <x v="1"/>
    <n v="1022.23"/>
    <n v="8"/>
    <n v="0.1"/>
    <x v="129"/>
    <n v="460"/>
  </r>
  <r>
    <s v="CUST004"/>
    <s v="Linda Wilson"/>
    <x v="1"/>
    <x v="0"/>
    <n v="1099.69"/>
    <n v="6"/>
    <n v="0"/>
    <x v="130"/>
    <n v="439.88"/>
  </r>
  <r>
    <s v="CUST028"/>
    <s v="Sarah Davis"/>
    <x v="3"/>
    <x v="0"/>
    <n v="710.52"/>
    <n v="8"/>
    <n v="0.1"/>
    <x v="131"/>
    <n v="255.79"/>
  </r>
  <r>
    <s v="CUST028"/>
    <s v="Mary Wilson"/>
    <x v="3"/>
    <x v="0"/>
    <n v="499.18"/>
    <n v="15"/>
    <n v="0.2"/>
    <x v="132"/>
    <n v="159.74"/>
  </r>
  <r>
    <s v="CUST014"/>
    <s v="Emma Davis"/>
    <x v="2"/>
    <x v="0"/>
    <n v="1064.19"/>
    <n v="18"/>
    <n v="0.05"/>
    <x v="133"/>
    <n v="404.39"/>
  </r>
  <r>
    <s v="CUST003"/>
    <s v="Emma Davis"/>
    <x v="1"/>
    <x v="4"/>
    <n v="438.76"/>
    <n v="18"/>
    <n v="0.05"/>
    <x v="134"/>
    <n v="187.57"/>
  </r>
  <r>
    <s v="CUST029"/>
    <s v="David Brown"/>
    <x v="0"/>
    <x v="1"/>
    <n v="864.98"/>
    <n v="2"/>
    <n v="0.05"/>
    <x v="135"/>
    <n v="410.87"/>
  </r>
  <r>
    <s v="CUST021"/>
    <s v="David Brown"/>
    <x v="0"/>
    <x v="3"/>
    <n v="984.93"/>
    <n v="14"/>
    <n v="0.2"/>
    <x v="136"/>
    <n v="275.77999999999997"/>
  </r>
  <r>
    <s v="CUST007"/>
    <s v="David Brown"/>
    <x v="0"/>
    <x v="1"/>
    <n v="1493.49"/>
    <n v="18"/>
    <n v="0"/>
    <x v="137"/>
    <n v="746.74"/>
  </r>
  <r>
    <s v="CUST009"/>
    <s v="Linda Taylor"/>
    <x v="2"/>
    <x v="1"/>
    <n v="689.43"/>
    <n v="9"/>
    <n v="0.1"/>
    <x v="138"/>
    <n v="310.24"/>
  </r>
  <r>
    <s v="CUST023"/>
    <s v="Mary Wilson"/>
    <x v="2"/>
    <x v="1"/>
    <n v="682.24"/>
    <n v="1"/>
    <n v="0"/>
    <x v="139"/>
    <n v="341.12"/>
  </r>
  <r>
    <s v="CUST029"/>
    <s v="Michael Anderson"/>
    <x v="3"/>
    <x v="2"/>
    <n v="458.54"/>
    <n v="15"/>
    <n v="0.2"/>
    <x v="140"/>
    <n v="91.71"/>
  </r>
  <r>
    <s v="CUST009"/>
    <s v="Michael Anderson"/>
    <x v="2"/>
    <x v="3"/>
    <n v="1184.25"/>
    <n v="11"/>
    <n v="0.2"/>
    <x v="141"/>
    <n v="331.59"/>
  </r>
  <r>
    <s v="CUST007"/>
    <s v="James Davis"/>
    <x v="2"/>
    <x v="1"/>
    <n v="762.14"/>
    <n v="9"/>
    <n v="0"/>
    <x v="142"/>
    <n v="381.07"/>
  </r>
  <r>
    <s v="CUST030"/>
    <s v="Linda Taylor"/>
    <x v="3"/>
    <x v="0"/>
    <n v="750.71"/>
    <n v="10"/>
    <n v="0.15"/>
    <x v="142"/>
    <n v="255.24"/>
  </r>
  <r>
    <s v="CUST018"/>
    <s v="David Anderson"/>
    <x v="4"/>
    <x v="1"/>
    <n v="1456.94"/>
    <n v="14"/>
    <n v="0.05"/>
    <x v="143"/>
    <n v="692.05"/>
  </r>
  <r>
    <s v="CUST008"/>
    <s v="Emma Wilson"/>
    <x v="1"/>
    <x v="3"/>
    <n v="1093.3800000000001"/>
    <n v="17"/>
    <n v="0.1"/>
    <x v="143"/>
    <n v="344.41"/>
  </r>
  <r>
    <s v="CUST014"/>
    <s v="Sarah Anderson"/>
    <x v="0"/>
    <x v="1"/>
    <n v="934.27"/>
    <n v="8"/>
    <n v="0.15"/>
    <x v="144"/>
    <n v="397.06"/>
  </r>
  <r>
    <s v="CUST024"/>
    <s v="David Thomas"/>
    <x v="4"/>
    <x v="1"/>
    <n v="1465.35"/>
    <n v="8"/>
    <n v="0.2"/>
    <x v="144"/>
    <n v="586.14"/>
  </r>
  <r>
    <s v="CUST028"/>
    <s v="Robert Anderson"/>
    <x v="2"/>
    <x v="4"/>
    <n v="740.8"/>
    <n v="3"/>
    <n v="0"/>
    <x v="145"/>
    <n v="333.36"/>
  </r>
  <r>
    <s v="CUST015"/>
    <s v="Sarah Anderson"/>
    <x v="0"/>
    <x v="4"/>
    <n v="545.44000000000005"/>
    <n v="17"/>
    <n v="0"/>
    <x v="146"/>
    <n v="245.45"/>
  </r>
  <r>
    <s v="CUST010"/>
    <s v="David Thomas"/>
    <x v="1"/>
    <x v="0"/>
    <n v="997.61"/>
    <n v="8"/>
    <n v="0.05"/>
    <x v="146"/>
    <n v="379.09"/>
  </r>
  <r>
    <s v="CUST016"/>
    <s v="David Thomas"/>
    <x v="2"/>
    <x v="1"/>
    <n v="928.32"/>
    <n v="2"/>
    <n v="0.05"/>
    <x v="147"/>
    <n v="440.95"/>
  </r>
  <r>
    <m/>
    <m/>
    <x v="5"/>
    <x v="5"/>
    <m/>
    <m/>
    <m/>
    <x v="148"/>
    <m/>
  </r>
  <r>
    <m/>
    <m/>
    <x v="5"/>
    <x v="5"/>
    <m/>
    <m/>
    <m/>
    <x v="148"/>
    <m/>
  </r>
  <r>
    <m/>
    <m/>
    <x v="5"/>
    <x v="5"/>
    <m/>
    <m/>
    <m/>
    <x v="148"/>
    <m/>
  </r>
  <r>
    <m/>
    <m/>
    <x v="5"/>
    <x v="5"/>
    <m/>
    <m/>
    <m/>
    <x v="148"/>
    <m/>
  </r>
  <r>
    <m/>
    <m/>
    <x v="5"/>
    <x v="5"/>
    <m/>
    <m/>
    <m/>
    <x v="148"/>
    <m/>
  </r>
  <r>
    <m/>
    <m/>
    <x v="5"/>
    <x v="5"/>
    <m/>
    <m/>
    <m/>
    <x v="148"/>
    <m/>
  </r>
  <r>
    <m/>
    <m/>
    <x v="5"/>
    <x v="5"/>
    <m/>
    <m/>
    <m/>
    <x v="148"/>
    <m/>
  </r>
  <r>
    <m/>
    <m/>
    <x v="5"/>
    <x v="5"/>
    <m/>
    <m/>
    <m/>
    <x v="148"/>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219E2D-3127-458F-A173-ACE6B03BA40E}" name="Bar chart region vs profit" cacheId="0" applyNumberFormats="0" applyBorderFormats="0" applyFontFormats="0" applyPatternFormats="0" applyAlignmentFormats="0" applyWidthHeightFormats="1" dataCaption="Values" updatedVersion="8" minRefreshableVersion="5" useAutoFormatting="1" itemPrintTitles="1" createdVersion="8" indent="0" compact="0" outline="1" outlineData="1" compactData="0" multipleFieldFilters="0" chartFormat="12">
  <location ref="A97:B104" firstHeaderRow="1" firstDataRow="1" firstDataCol="1"/>
  <pivotFields count="12">
    <pivotField compact="0" showAll="0"/>
    <pivotField compact="0" showAll="0"/>
    <pivotField axis="axisRow" compact="0" showAll="0">
      <items count="7">
        <item x="4"/>
        <item x="1"/>
        <item x="3"/>
        <item x="2"/>
        <item x="0"/>
        <item x="5"/>
        <item t="default"/>
      </items>
    </pivotField>
    <pivotField compact="0" showAll="0">
      <items count="7">
        <item x="0"/>
        <item x="1"/>
        <item x="2"/>
        <item x="3"/>
        <item x="4"/>
        <item x="5"/>
        <item t="default"/>
      </items>
    </pivotField>
    <pivotField compact="0" showAll="0"/>
    <pivotField compact="0" showAll="0"/>
    <pivotField compact="0" showAll="0"/>
    <pivotField compact="0" showAll="0">
      <items count="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dataField="1" compact="0" showAll="0"/>
    <pivotField compact="0" showAll="0" defaultSubtotal="0"/>
    <pivotField compact="0" showAll="0" defaultSubtotal="0"/>
    <pivotField compact="0" showAll="0" defaultSubtotal="0">
      <items count="4">
        <item x="0"/>
        <item x="1"/>
        <item x="2"/>
        <item x="3"/>
      </items>
    </pivotField>
  </pivotFields>
  <rowFields count="1">
    <field x="2"/>
  </rowFields>
  <rowItems count="7">
    <i>
      <x/>
    </i>
    <i>
      <x v="1"/>
    </i>
    <i>
      <x v="2"/>
    </i>
    <i>
      <x v="3"/>
    </i>
    <i>
      <x v="4"/>
    </i>
    <i>
      <x v="5"/>
    </i>
    <i t="grand">
      <x/>
    </i>
  </rowItems>
  <colItems count="1">
    <i/>
  </colItems>
  <dataFields count="1">
    <dataField name="Sum of Profit" fld="8" baseField="0" baseItem="0"/>
  </dataFields>
  <chartFormats count="2">
    <chartFormat chart="1"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D350B9-2F35-4FFC-A58B-9965F4FDC20D}" name="category vs sales" cacheId="0" applyNumberFormats="0" applyBorderFormats="0" applyFontFormats="0" applyPatternFormats="0" applyAlignmentFormats="0" applyWidthHeightFormats="1" dataCaption="Values" updatedVersion="8" minRefreshableVersion="5" useAutoFormatting="1" itemPrintTitles="1" createdVersion="8" indent="0" compact="0" outline="1" outlineData="1" compactData="0" multipleFieldFilters="0" chartFormat="20">
  <location ref="A64:B71" firstHeaderRow="1" firstDataRow="1" firstDataCol="1"/>
  <pivotFields count="12">
    <pivotField compact="0" showAll="0"/>
    <pivotField compact="0" showAll="0"/>
    <pivotField compact="0" showAll="0">
      <items count="7">
        <item x="4"/>
        <item x="1"/>
        <item x="3"/>
        <item x="2"/>
        <item x="0"/>
        <item x="5"/>
        <item t="default"/>
      </items>
    </pivotField>
    <pivotField axis="axisRow" compact="0" showAll="0">
      <items count="7">
        <item x="0"/>
        <item x="1"/>
        <item x="2"/>
        <item x="3"/>
        <item x="4"/>
        <item x="5"/>
        <item t="default"/>
      </items>
    </pivotField>
    <pivotField dataField="1" compact="0" showAll="0"/>
    <pivotField compact="0" showAll="0"/>
    <pivotField compact="0" showAll="0"/>
    <pivotField compact="0" showAll="0">
      <items count="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compact="0" showAll="0"/>
    <pivotField compact="0" showAll="0" defaultSubtotal="0"/>
    <pivotField compact="0" showAll="0" defaultSubtotal="0"/>
    <pivotField compact="0" showAll="0" defaultSubtotal="0">
      <items count="4">
        <item x="0"/>
        <item x="1"/>
        <item x="2"/>
        <item x="3"/>
      </items>
    </pivotField>
  </pivotFields>
  <rowFields count="1">
    <field x="3"/>
  </rowFields>
  <rowItems count="7">
    <i>
      <x/>
    </i>
    <i>
      <x v="1"/>
    </i>
    <i>
      <x v="2"/>
    </i>
    <i>
      <x v="3"/>
    </i>
    <i>
      <x v="4"/>
    </i>
    <i>
      <x v="5"/>
    </i>
    <i t="grand">
      <x/>
    </i>
  </rowItems>
  <colItems count="1">
    <i/>
  </colItems>
  <dataFields count="1">
    <dataField name="Sum of Sales" fld="4" baseField="0" baseItem="0"/>
  </dataFields>
  <chartFormats count="15">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3" count="1" selected="0">
            <x v="0"/>
          </reference>
        </references>
      </pivotArea>
    </chartFormat>
    <chartFormat chart="5" format="2">
      <pivotArea type="data" outline="0" fieldPosition="0">
        <references count="2">
          <reference field="4294967294" count="1" selected="0">
            <x v="0"/>
          </reference>
          <reference field="3" count="1" selected="0">
            <x v="1"/>
          </reference>
        </references>
      </pivotArea>
    </chartFormat>
    <chartFormat chart="5" format="3">
      <pivotArea type="data" outline="0" fieldPosition="0">
        <references count="2">
          <reference field="4294967294" count="1" selected="0">
            <x v="0"/>
          </reference>
          <reference field="3" count="1" selected="0">
            <x v="2"/>
          </reference>
        </references>
      </pivotArea>
    </chartFormat>
    <chartFormat chart="5" format="4">
      <pivotArea type="data" outline="0" fieldPosition="0">
        <references count="2">
          <reference field="4294967294" count="1" selected="0">
            <x v="0"/>
          </reference>
          <reference field="3" count="1" selected="0">
            <x v="3"/>
          </reference>
        </references>
      </pivotArea>
    </chartFormat>
    <chartFormat chart="5" format="5">
      <pivotArea type="data" outline="0" fieldPosition="0">
        <references count="2">
          <reference field="4294967294" count="1" selected="0">
            <x v="0"/>
          </reference>
          <reference field="3" count="1" selected="0">
            <x v="4"/>
          </reference>
        </references>
      </pivotArea>
    </chartFormat>
    <chartFormat chart="14" format="12" series="1">
      <pivotArea type="data" outline="0" fieldPosition="0">
        <references count="1">
          <reference field="4294967294" count="1" selected="0">
            <x v="0"/>
          </reference>
        </references>
      </pivotArea>
    </chartFormat>
    <chartFormat chart="14" format="13">
      <pivotArea type="data" outline="0" fieldPosition="0">
        <references count="2">
          <reference field="4294967294" count="1" selected="0">
            <x v="0"/>
          </reference>
          <reference field="3" count="1" selected="0">
            <x v="0"/>
          </reference>
        </references>
      </pivotArea>
    </chartFormat>
    <chartFormat chart="14" format="14">
      <pivotArea type="data" outline="0" fieldPosition="0">
        <references count="2">
          <reference field="4294967294" count="1" selected="0">
            <x v="0"/>
          </reference>
          <reference field="3" count="1" selected="0">
            <x v="1"/>
          </reference>
        </references>
      </pivotArea>
    </chartFormat>
    <chartFormat chart="14" format="15">
      <pivotArea type="data" outline="0" fieldPosition="0">
        <references count="2">
          <reference field="4294967294" count="1" selected="0">
            <x v="0"/>
          </reference>
          <reference field="3" count="1" selected="0">
            <x v="2"/>
          </reference>
        </references>
      </pivotArea>
    </chartFormat>
    <chartFormat chart="14" format="16">
      <pivotArea type="data" outline="0" fieldPosition="0">
        <references count="2">
          <reference field="4294967294" count="1" selected="0">
            <x v="0"/>
          </reference>
          <reference field="3" count="1" selected="0">
            <x v="3"/>
          </reference>
        </references>
      </pivotArea>
    </chartFormat>
    <chartFormat chart="14" format="17">
      <pivotArea type="data" outline="0" fieldPosition="0">
        <references count="2">
          <reference field="4294967294" count="1" selected="0">
            <x v="0"/>
          </reference>
          <reference field="3" count="1" selected="0">
            <x v="4"/>
          </reference>
        </references>
      </pivotArea>
    </chartFormat>
    <chartFormat chart="14" format="18">
      <pivotArea type="data" outline="0" fieldPosition="0">
        <references count="1">
          <reference field="4294967294" count="1" selected="0">
            <x v="0"/>
          </reference>
        </references>
      </pivotArea>
    </chartFormat>
    <chartFormat chart="14" format="19">
      <pivotArea type="data" outline="0" fieldPosition="0">
        <references count="2">
          <reference field="4294967294" count="1" selected="0">
            <x v="0"/>
          </reference>
          <reference field="3" count="1" selected="0">
            <x v="5"/>
          </reference>
        </references>
      </pivotArea>
    </chartFormat>
    <chartFormat chart="5" format="6">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2ADA95-9351-48A2-9738-953FC9313C74}" name="monthly sales trend"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21">
  <location ref="A37:D53" firstHeaderRow="1" firstDataRow="1" firstDataCol="3"/>
  <pivotFields count="12">
    <pivotField compact="0" showAll="0"/>
    <pivotField compact="0" showAll="0"/>
    <pivotField compact="0" showAll="0">
      <items count="7">
        <item x="4"/>
        <item x="1"/>
        <item x="3"/>
        <item x="2"/>
        <item x="0"/>
        <item x="5"/>
        <item t="default"/>
      </items>
    </pivotField>
    <pivotField compact="0" showAll="0">
      <items count="7">
        <item x="0"/>
        <item x="1"/>
        <item x="2"/>
        <item x="3"/>
        <item x="4"/>
        <item x="5"/>
        <item t="default"/>
      </items>
    </pivotField>
    <pivotField dataField="1" compact="0" showAll="0"/>
    <pivotField compact="0" showAll="0"/>
    <pivotField compact="0" showAll="0"/>
    <pivotField axis="axisRow" compact="0" showAll="0">
      <items count="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compact="0" showAll="0"/>
    <pivotField axis="axisRow" compact="0" showAll="0">
      <items count="15">
        <item sd="0" x="0"/>
        <item sd="0" x="1"/>
        <item sd="0" x="2"/>
        <item sd="0" x="3"/>
        <item sd="0" x="4"/>
        <item sd="0" x="5"/>
        <item sd="0" x="6"/>
        <item sd="0" x="7"/>
        <item sd="0" x="8"/>
        <item sd="0" x="9"/>
        <item sd="0" x="10"/>
        <item sd="0" x="11"/>
        <item sd="0" x="12"/>
        <item sd="0" x="13"/>
        <item t="default"/>
      </items>
    </pivotField>
    <pivotField compact="0" showAll="0">
      <items count="7">
        <item sd="0" x="0"/>
        <item sd="0" x="1"/>
        <item sd="0" x="2"/>
        <item sd="0" x="3"/>
        <item sd="0" x="4"/>
        <item sd="0" x="5"/>
        <item t="default"/>
      </items>
    </pivotField>
    <pivotField axis="axisRow" compact="0" showAll="0">
      <items count="5">
        <item h="1" sd="0" x="0"/>
        <item x="1"/>
        <item x="2"/>
        <item sd="0" x="3"/>
        <item t="default"/>
      </items>
    </pivotField>
  </pivotFields>
  <rowFields count="3">
    <field x="11"/>
    <field x="9"/>
    <field x="7"/>
  </rowFields>
  <rowItems count="16">
    <i>
      <x v="1"/>
    </i>
    <i r="1">
      <x v="4"/>
    </i>
    <i r="1">
      <x v="5"/>
    </i>
    <i r="1">
      <x v="6"/>
    </i>
    <i r="1">
      <x v="7"/>
    </i>
    <i r="1">
      <x v="8"/>
    </i>
    <i r="1">
      <x v="9"/>
    </i>
    <i r="1">
      <x v="10"/>
    </i>
    <i r="1">
      <x v="11"/>
    </i>
    <i r="1">
      <x v="12"/>
    </i>
    <i>
      <x v="2"/>
    </i>
    <i r="1">
      <x v="1"/>
    </i>
    <i r="1">
      <x v="2"/>
    </i>
    <i r="1">
      <x v="3"/>
    </i>
    <i r="1">
      <x v="4"/>
    </i>
    <i t="grand">
      <x/>
    </i>
  </rowItems>
  <colItems count="1">
    <i/>
  </colItems>
  <dataFields count="1">
    <dataField name="Sum of Sales" fld="4" baseField="0" baseItem="0"/>
  </dataFields>
  <chartFormats count="2">
    <chartFormat chart="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3D3092-CEC2-47E9-867C-E94FEB71522B}" name="region vs category vs sales" cacheId="0" applyNumberFormats="0" applyBorderFormats="0" applyFontFormats="0" applyPatternFormats="0" applyAlignmentFormats="0" applyWidthHeightFormats="1" dataCaption="Values" updatedVersion="8" minRefreshableVersion="5" useAutoFormatting="1" itemPrintTitles="1" createdVersion="8" indent="0" compact="0" outline="1" outlineData="1" compactData="0" multipleFieldFilters="0" chartFormat="63">
  <location ref="A1:C33" firstHeaderRow="1" firstDataRow="1" firstDataCol="2"/>
  <pivotFields count="12">
    <pivotField compact="0" showAll="0"/>
    <pivotField compact="0" showAll="0"/>
    <pivotField axis="axisRow" compact="0" showAll="0">
      <items count="7">
        <item x="4"/>
        <item x="1"/>
        <item x="3"/>
        <item x="2"/>
        <item x="0"/>
        <item sd="0" x="5"/>
        <item t="default"/>
      </items>
    </pivotField>
    <pivotField axis="axisRow" compact="0" showAll="0">
      <items count="7">
        <item x="0"/>
        <item x="1"/>
        <item x="2"/>
        <item x="3"/>
        <item x="4"/>
        <item x="5"/>
        <item t="default"/>
      </items>
    </pivotField>
    <pivotField dataField="1" compact="0" numFmtId="2" showAll="0"/>
    <pivotField compact="0" numFmtId="1" showAll="0"/>
    <pivotField compact="0" numFmtId="10" showAll="0"/>
    <pivotField compact="0" numFmtId="14" showAll="0">
      <items count="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compact="0" numFmtId="2" showAll="0"/>
    <pivotField compact="0" showAll="0"/>
    <pivotField compact="0" showAll="0"/>
    <pivotField compact="0" showAll="0">
      <items count="5">
        <item x="0"/>
        <item x="1"/>
        <item x="2"/>
        <item x="3"/>
        <item t="default"/>
      </items>
    </pivotField>
  </pivotFields>
  <rowFields count="2">
    <field x="2"/>
    <field x="3"/>
  </rowFields>
  <rowItems count="32">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x v="5"/>
    </i>
    <i t="grand">
      <x/>
    </i>
  </rowItems>
  <colItems count="1">
    <i/>
  </colItems>
  <dataFields count="1">
    <dataField name="Sum of Sales" fld="4" baseField="0" baseItem="0" numFmtId="2"/>
  </dataFields>
  <chartFormats count="4">
    <chartFormat chart="44" format="2" series="1">
      <pivotArea type="data" outline="0" fieldPosition="0">
        <references count="1">
          <reference field="4294967294" count="1" selected="0">
            <x v="0"/>
          </reference>
        </references>
      </pivotArea>
    </chartFormat>
    <chartFormat chart="50" format="0" series="1">
      <pivotArea type="data" outline="0" fieldPosition="0">
        <references count="1">
          <reference field="4294967294" count="1" selected="0">
            <x v="0"/>
          </reference>
        </references>
      </pivotArea>
    </chartFormat>
    <chartFormat chart="54" format="0" series="1">
      <pivotArea type="data" outline="0" fieldPosition="0">
        <references count="1">
          <reference field="4294967294" count="1" selected="0">
            <x v="0"/>
          </reference>
        </references>
      </pivotArea>
    </chartFormat>
    <chartFormat chart="5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4996A8D-AA08-48F4-834C-34B9053CC43F}" sourceName="Product_Category">
  <pivotTables>
    <pivotTable tabId="21" name="region vs category vs sales"/>
    <pivotTable tabId="21" name="Bar chart region vs profit"/>
    <pivotTable tabId="21" name="category vs sales"/>
  </pivotTables>
  <data>
    <tabular pivotCacheId="1971378347">
      <items count="6">
        <i x="0" s="1"/>
        <i x="1" s="1"/>
        <i x="2" s="1"/>
        <i x="3" s="1"/>
        <i x="4" s="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C6AB364-6DCB-4009-AF6A-FAD0E0A6810C}" sourceName="Region">
  <pivotTables>
    <pivotTable tabId="21" name="region vs category vs sales"/>
    <pivotTable tabId="21" name="Bar chart region vs profit"/>
    <pivotTable tabId="21" name="category vs sales"/>
    <pivotTable tabId="21" name="monthly sales trend"/>
  </pivotTables>
  <data>
    <tabular pivotCacheId="1971378347">
      <items count="6">
        <i x="4" s="1"/>
        <i x="1" s="1"/>
        <i x="3" s="1"/>
        <i x="2" s="1"/>
        <i x="0" s="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2" xr10:uid="{77F22556-8EC2-4765-9358-073366E1318C}" cache="Slicer_Product_Category" caption="Product_Category" style="Mystyle" rowHeight="756000"/>
  <slicer name="Region 1" xr10:uid="{ACCAF545-E904-456D-838E-FE1C705A21E1}" cache="Slicer_Region" caption="Region" style="Mystyle" rowHeight="75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627521C4-CB93-48D3-813E-6FA412D0727C}" cache="Slicer_Product_Category" caption="Product_Category" rowHeight="247650"/>
  <slicer name="Region" xr10:uid="{92A05143-B24C-488A-9CE5-750FD5870D57}" cache="Slicer_Region" caption="Region" style="Mystyle" rowHeight="75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EB6439-F13B-41E2-B7B9-D76B5F2C6141}" name="Customer_data" displayName="Customer_data" ref="A1:I201" totalsRowShown="0" dataDxfId="16" headerRowBorderDxfId="17" tableBorderDxfId="15" totalsRowBorderDxfId="14">
  <autoFilter ref="A1:I201" xr:uid="{00000000-0001-0000-0100-000000000000}"/>
  <tableColumns count="9">
    <tableColumn id="1" xr3:uid="{853105DA-1D96-4C82-A04C-CAED34DB99D2}" name="Customer_ID" dataDxfId="13"/>
    <tableColumn id="2" xr3:uid="{B1A99C74-601E-4BD8-8FC9-3B19D47B4CB4}" name="Customer_Name" dataDxfId="12"/>
    <tableColumn id="3" xr3:uid="{103E8F53-93F8-4382-9545-D46278A76AD2}" name="Region" dataDxfId="11"/>
    <tableColumn id="4" xr3:uid="{0A540EF5-56DB-40D8-890E-A8E57D59A3D0}" name="Product_Category" dataDxfId="10"/>
    <tableColumn id="5" xr3:uid="{7BF59DD8-EB9D-4BD6-887A-091C3EE0BC50}" name="Sales" dataDxfId="9"/>
    <tableColumn id="6" xr3:uid="{660FAABB-7425-4DF2-8813-50D25A3080C6}" name="Quantity" dataDxfId="8"/>
    <tableColumn id="7" xr3:uid="{2D142FC7-6761-48FD-B2DB-F716CDDF3E96}" name="Discount" dataDxfId="7"/>
    <tableColumn id="8" xr3:uid="{F0C709BE-BC55-400E-AA3F-F9A69013F6A4}" name="Order_Date" dataDxfId="6"/>
    <tableColumn id="9" xr3:uid="{54CCED4D-B407-43E6-A33F-13BCF2244F9F}" name="Profit" dataDxfId="5"/>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Wood Type">
  <a:themeElements>
    <a:clrScheme name="Wood Type">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Wood Type">
      <a:majorFont>
        <a:latin typeface="Rockwell Condensed" panose="02060603050405020104"/>
        <a:ea typeface=""/>
        <a:cs typeface=""/>
        <a:font script="Grek" typeface="Cambria"/>
        <a:font script="Cyrl" typeface="Cambria"/>
        <a:font script="Jpan" typeface="HG明朝B"/>
        <a:font script="Hang" typeface="바탕"/>
        <a:font script="Hans" typeface="方正姚体"/>
        <a:font script="Hant" typeface="微軟正黑體"/>
        <a:font script="Arab" typeface="Times New Roman"/>
        <a:font script="Hebr" typeface="David"/>
        <a:font script="Thai" typeface="Jasmine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ajorFont>
      <a:minorFont>
        <a:latin typeface="Rockwell" panose="02060603020205020403"/>
        <a:ea typeface=""/>
        <a:cs typeface=""/>
        <a:font script="Grek" typeface="Cambria"/>
        <a:font script="Cyrl" typeface="Cambria"/>
        <a:font script="Jpan" typeface="HG明朝B"/>
        <a:font script="Hang" typeface="바탕"/>
        <a:font script="Hans" typeface="方正姚体"/>
        <a:font script="Hant" typeface="標楷體"/>
        <a:font script="Arab" typeface="Times New Roman"/>
        <a:font script="Hebr" typeface="David"/>
        <a:font script="Thai" typeface="Jasmine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Wood Type">
      <a:fillStyleLst>
        <a:solidFill>
          <a:schemeClr val="phClr"/>
        </a:solidFill>
        <a:blipFill rotWithShape="1">
          <a:blip xmlns:r="http://schemas.openxmlformats.org/officeDocument/2006/relationships" r:embed="rId1">
            <a:duotone>
              <a:schemeClr val="phClr">
                <a:tint val="70000"/>
                <a:shade val="63000"/>
              </a:schemeClr>
              <a:schemeClr val="phClr">
                <a:tint val="10000"/>
                <a:satMod val="150000"/>
              </a:schemeClr>
            </a:duotone>
          </a:blip>
          <a:tile tx="0" ty="0" sx="60000" sy="59000" flip="none" algn="tl"/>
        </a:blipFill>
        <a:blipFill rotWithShape="1">
          <a:blip xmlns:r="http://schemas.openxmlformats.org/officeDocument/2006/relationships" r:embed="rId1">
            <a:duotone>
              <a:schemeClr val="phClr">
                <a:shade val="36000"/>
                <a:satMod val="120000"/>
              </a:schemeClr>
              <a:schemeClr val="phClr">
                <a:tint val="40000"/>
              </a:schemeClr>
            </a:duotone>
          </a:blip>
          <a:tile tx="0" ty="0" sx="60000" sy="59000" flip="none" algn="tl"/>
        </a:blip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softEdge rad="12700"/>
          </a:effectLst>
        </a:effectStyle>
        <a:effectStyle>
          <a:effectLst>
            <a:outerShdw blurRad="50800" dist="19050" dir="5400000" algn="tl" rotWithShape="0">
              <a:srgbClr val="000000">
                <a:alpha val="60000"/>
              </a:srgbClr>
            </a:outerShdw>
            <a:softEdge rad="12700"/>
          </a:effectLst>
        </a:effectStyle>
      </a:effectStyleLst>
      <a:bgFillStyleLst>
        <a:solidFill>
          <a:schemeClr val="phClr"/>
        </a:solidFill>
        <a:solidFill>
          <a:schemeClr val="phClr">
            <a:shade val="97000"/>
            <a:satMod val="150000"/>
          </a:schemeClr>
        </a:solidFill>
        <a:blipFill rotWithShape="1">
          <a:blip xmlns:r="http://schemas.openxmlformats.org/officeDocument/2006/relationships" r:embed="rId1">
            <a:duotone>
              <a:schemeClr val="phClr">
                <a:tint val="75000"/>
                <a:shade val="58000"/>
                <a:satMod val="120000"/>
              </a:schemeClr>
              <a:schemeClr val="phClr">
                <a:tint val="50000"/>
                <a:shade val="96000"/>
              </a:schemeClr>
            </a:duotone>
          </a:blip>
          <a:tile tx="0" ty="0" sx="100000" sy="100000" flip="none" algn="tl"/>
        </a:blipFill>
      </a:bgFillStyleLst>
    </a:fmtScheme>
  </a:themeElements>
  <a:objectDefaults/>
  <a:extraClrSchemeLst/>
  <a:extLst>
    <a:ext uri="{05A4C25C-085E-4340-85A3-A5531E510DB2}">
      <thm15:themeFamily xmlns:thm15="http://schemas.microsoft.com/office/thememl/2012/main" name="Wood Type" id="{7ACABC62-BF99-48CF-A9DC-4DB89C7B13DC}" vid="{142A1326-48AB-42A9-8428-CB14AA30176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F2015BD-C03B-4DC6-9549-4DE017D0EE6E}" sourceName="Order_Date">
  <pivotTables>
    <pivotTable tabId="21" name="region vs category vs sales"/>
    <pivotTable tabId="21" name="Bar chart region vs profit"/>
    <pivotTable tabId="21" name="category vs sales"/>
  </pivotTables>
  <state minimalRefreshVersion="6" lastRefreshVersion="6" pivotCacheId="1971378347"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7AA3D4AC-476A-4DFD-9892-F96DB52DFE0A}" cache="NativeTimeline_Order_Date" caption="Order_Date" showTimeLevel="0" showHorizontalScrollbar="0" level="2" selectionLevel="2" scrollPosition="2024-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rinterSettings" Target="../printerSettings/printerSettings10.bin"/><Relationship Id="rId4"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CB67C-A7FC-4108-8CB5-45CEAF36E8B9}">
  <dimension ref="A1:AS176"/>
  <sheetViews>
    <sheetView tabSelected="1" view="pageBreakPreview" zoomScale="20" zoomScaleNormal="25" zoomScaleSheetLayoutView="20" workbookViewId="0">
      <selection activeCell="E23" sqref="E23"/>
    </sheetView>
  </sheetViews>
  <sheetFormatPr defaultRowHeight="13.8" x14ac:dyDescent="0.25"/>
  <cols>
    <col min="8" max="9" width="8.796875" customWidth="1"/>
  </cols>
  <sheetData>
    <row r="1" spans="1:45" ht="14.4" customHeight="1" x14ac:dyDescent="0.25">
      <c r="A1" s="47"/>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7"/>
      <c r="AP1" s="47"/>
      <c r="AQ1" s="47"/>
      <c r="AR1" s="47"/>
      <c r="AS1" s="47"/>
    </row>
    <row r="2" spans="1:45" ht="14.4" customHeight="1" x14ac:dyDescent="0.25">
      <c r="A2" s="47"/>
      <c r="B2" s="47"/>
      <c r="C2" s="47"/>
      <c r="D2" s="47"/>
      <c r="E2" s="47"/>
      <c r="F2" s="79" t="s">
        <v>160</v>
      </c>
      <c r="G2" s="59"/>
      <c r="H2" s="59"/>
      <c r="I2" s="59"/>
      <c r="J2" s="59"/>
      <c r="K2" s="59"/>
      <c r="L2" s="59"/>
      <c r="M2" s="59"/>
      <c r="N2" s="59"/>
      <c r="O2" s="59"/>
      <c r="P2" s="59"/>
      <c r="Q2" s="59"/>
      <c r="R2" s="59"/>
      <c r="S2" s="59"/>
      <c r="T2" s="59"/>
      <c r="U2" s="59"/>
      <c r="V2" s="59"/>
      <c r="W2" s="59"/>
      <c r="X2" s="59"/>
      <c r="Y2" s="59"/>
      <c r="Z2" s="59"/>
      <c r="AA2" s="59"/>
      <c r="AB2" s="59"/>
      <c r="AC2" s="59"/>
      <c r="AD2" s="59"/>
      <c r="AE2" s="59"/>
      <c r="AF2" s="59"/>
      <c r="AG2" s="59"/>
      <c r="AH2" s="59"/>
      <c r="AI2" s="59"/>
      <c r="AJ2" s="59"/>
      <c r="AK2" s="59"/>
      <c r="AL2" s="59"/>
      <c r="AM2" s="59"/>
      <c r="AN2" s="59"/>
      <c r="AO2" s="59"/>
      <c r="AP2" s="47"/>
      <c r="AQ2" s="47"/>
      <c r="AR2" s="47"/>
      <c r="AS2" s="47"/>
    </row>
    <row r="3" spans="1:45" ht="14.4" customHeight="1" x14ac:dyDescent="0.25">
      <c r="A3" s="47"/>
      <c r="B3" s="47"/>
      <c r="C3" s="47"/>
      <c r="D3" s="47"/>
      <c r="E3" s="47"/>
      <c r="F3" s="59"/>
      <c r="G3" s="59"/>
      <c r="H3" s="59"/>
      <c r="I3" s="59"/>
      <c r="J3" s="59"/>
      <c r="K3" s="59"/>
      <c r="L3" s="59"/>
      <c r="M3" s="59"/>
      <c r="N3" s="59"/>
      <c r="O3" s="59"/>
      <c r="P3" s="59"/>
      <c r="Q3" s="59"/>
      <c r="R3" s="59"/>
      <c r="S3" s="59"/>
      <c r="T3" s="59"/>
      <c r="U3" s="59"/>
      <c r="V3" s="59"/>
      <c r="W3" s="59"/>
      <c r="X3" s="59"/>
      <c r="Y3" s="59"/>
      <c r="Z3" s="59"/>
      <c r="AA3" s="59"/>
      <c r="AB3" s="59"/>
      <c r="AC3" s="59"/>
      <c r="AD3" s="59"/>
      <c r="AE3" s="59"/>
      <c r="AF3" s="59"/>
      <c r="AG3" s="59"/>
      <c r="AH3" s="59"/>
      <c r="AI3" s="59"/>
      <c r="AJ3" s="59"/>
      <c r="AK3" s="59"/>
      <c r="AL3" s="59"/>
      <c r="AM3" s="59"/>
      <c r="AN3" s="59"/>
      <c r="AO3" s="59"/>
      <c r="AP3" s="47"/>
      <c r="AQ3" s="47"/>
      <c r="AR3" s="47"/>
      <c r="AS3" s="47"/>
    </row>
    <row r="4" spans="1:45" ht="14.4" customHeight="1" x14ac:dyDescent="0.25">
      <c r="A4" s="47"/>
      <c r="B4" s="47"/>
      <c r="C4" s="47"/>
      <c r="D4" s="47"/>
      <c r="E4" s="47"/>
      <c r="F4" s="59"/>
      <c r="G4" s="59"/>
      <c r="H4" s="59"/>
      <c r="I4" s="59"/>
      <c r="J4" s="59"/>
      <c r="K4" s="59"/>
      <c r="L4" s="59"/>
      <c r="M4" s="59"/>
      <c r="N4" s="59"/>
      <c r="O4" s="59"/>
      <c r="P4" s="59"/>
      <c r="Q4" s="59"/>
      <c r="R4" s="59"/>
      <c r="S4" s="59"/>
      <c r="T4" s="59"/>
      <c r="U4" s="59"/>
      <c r="V4" s="59"/>
      <c r="W4" s="59"/>
      <c r="X4" s="59"/>
      <c r="Y4" s="59"/>
      <c r="Z4" s="59"/>
      <c r="AA4" s="59"/>
      <c r="AB4" s="59"/>
      <c r="AC4" s="59"/>
      <c r="AD4" s="59"/>
      <c r="AE4" s="59"/>
      <c r="AF4" s="59"/>
      <c r="AG4" s="59"/>
      <c r="AH4" s="59"/>
      <c r="AI4" s="59"/>
      <c r="AJ4" s="59"/>
      <c r="AK4" s="59"/>
      <c r="AL4" s="59"/>
      <c r="AM4" s="59"/>
      <c r="AN4" s="59"/>
      <c r="AO4" s="59"/>
      <c r="AP4" s="47"/>
      <c r="AQ4" s="47"/>
      <c r="AR4" s="47"/>
      <c r="AS4" s="47"/>
    </row>
    <row r="5" spans="1:45" ht="14.4" customHeight="1" x14ac:dyDescent="0.25">
      <c r="A5" s="47"/>
      <c r="B5" s="47"/>
      <c r="C5" s="47"/>
      <c r="D5" s="47"/>
      <c r="E5" s="47"/>
      <c r="F5" s="59"/>
      <c r="G5" s="59"/>
      <c r="H5" s="59"/>
      <c r="I5" s="59"/>
      <c r="J5" s="59"/>
      <c r="K5" s="59"/>
      <c r="L5" s="59"/>
      <c r="M5" s="59"/>
      <c r="N5" s="59"/>
      <c r="O5" s="59"/>
      <c r="P5" s="59"/>
      <c r="Q5" s="59"/>
      <c r="R5" s="59"/>
      <c r="S5" s="59"/>
      <c r="T5" s="59"/>
      <c r="U5" s="59"/>
      <c r="V5" s="59"/>
      <c r="W5" s="59"/>
      <c r="X5" s="59"/>
      <c r="Y5" s="59"/>
      <c r="Z5" s="59"/>
      <c r="AA5" s="59"/>
      <c r="AB5" s="59"/>
      <c r="AC5" s="59"/>
      <c r="AD5" s="59"/>
      <c r="AE5" s="59"/>
      <c r="AF5" s="59"/>
      <c r="AG5" s="59"/>
      <c r="AH5" s="59"/>
      <c r="AI5" s="59"/>
      <c r="AJ5" s="59"/>
      <c r="AK5" s="59"/>
      <c r="AL5" s="59"/>
      <c r="AM5" s="59"/>
      <c r="AN5" s="59"/>
      <c r="AO5" s="59"/>
      <c r="AP5" s="47"/>
      <c r="AQ5" s="47"/>
      <c r="AR5" s="47"/>
      <c r="AS5" s="47"/>
    </row>
    <row r="6" spans="1:45" ht="14.4" customHeight="1" x14ac:dyDescent="0.25">
      <c r="A6" s="47"/>
      <c r="B6" s="47"/>
      <c r="C6" s="47"/>
      <c r="D6" s="47"/>
      <c r="E6" s="47"/>
      <c r="F6" s="59"/>
      <c r="G6" s="59"/>
      <c r="H6" s="59"/>
      <c r="I6" s="59"/>
      <c r="J6" s="59"/>
      <c r="K6" s="59"/>
      <c r="L6" s="59"/>
      <c r="M6" s="59"/>
      <c r="N6" s="59"/>
      <c r="O6" s="59"/>
      <c r="P6" s="59"/>
      <c r="Q6" s="59"/>
      <c r="R6" s="59"/>
      <c r="S6" s="59"/>
      <c r="T6" s="59"/>
      <c r="U6" s="59"/>
      <c r="V6" s="59"/>
      <c r="W6" s="59"/>
      <c r="X6" s="59"/>
      <c r="Y6" s="59"/>
      <c r="Z6" s="59"/>
      <c r="AA6" s="59"/>
      <c r="AB6" s="59"/>
      <c r="AC6" s="59"/>
      <c r="AD6" s="59"/>
      <c r="AE6" s="59"/>
      <c r="AF6" s="59"/>
      <c r="AG6" s="59"/>
      <c r="AH6" s="59"/>
      <c r="AI6" s="59"/>
      <c r="AJ6" s="59"/>
      <c r="AK6" s="59"/>
      <c r="AL6" s="59"/>
      <c r="AM6" s="59"/>
      <c r="AN6" s="59"/>
      <c r="AO6" s="59"/>
      <c r="AP6" s="47"/>
      <c r="AQ6" s="47"/>
      <c r="AR6" s="47"/>
      <c r="AS6" s="47"/>
    </row>
    <row r="7" spans="1:45" ht="14.4" customHeight="1" x14ac:dyDescent="0.25">
      <c r="A7" s="47"/>
      <c r="B7" s="47"/>
      <c r="C7" s="47"/>
      <c r="D7" s="47"/>
      <c r="E7" s="47"/>
      <c r="F7" s="59"/>
      <c r="G7" s="59"/>
      <c r="H7" s="59"/>
      <c r="I7" s="59"/>
      <c r="J7" s="59"/>
      <c r="K7" s="59"/>
      <c r="L7" s="59"/>
      <c r="M7" s="59"/>
      <c r="N7" s="59"/>
      <c r="O7" s="59"/>
      <c r="P7" s="59"/>
      <c r="Q7" s="59"/>
      <c r="R7" s="59"/>
      <c r="S7" s="59"/>
      <c r="T7" s="59"/>
      <c r="U7" s="59"/>
      <c r="V7" s="59"/>
      <c r="W7" s="59"/>
      <c r="X7" s="59"/>
      <c r="Y7" s="59"/>
      <c r="Z7" s="59"/>
      <c r="AA7" s="59"/>
      <c r="AB7" s="59"/>
      <c r="AC7" s="59"/>
      <c r="AD7" s="59"/>
      <c r="AE7" s="59"/>
      <c r="AF7" s="59"/>
      <c r="AG7" s="59"/>
      <c r="AH7" s="59"/>
      <c r="AI7" s="59"/>
      <c r="AJ7" s="59"/>
      <c r="AK7" s="59"/>
      <c r="AL7" s="59"/>
      <c r="AM7" s="59"/>
      <c r="AN7" s="59"/>
      <c r="AO7" s="59"/>
      <c r="AP7" s="47"/>
      <c r="AQ7" s="47"/>
      <c r="AR7" s="47"/>
      <c r="AS7" s="47"/>
    </row>
    <row r="8" spans="1:45" ht="14.4" customHeight="1" x14ac:dyDescent="0.25">
      <c r="A8" s="47"/>
      <c r="B8" s="47"/>
      <c r="C8" s="47"/>
      <c r="D8" s="47"/>
      <c r="E8" s="47"/>
      <c r="F8" s="59"/>
      <c r="G8" s="59"/>
      <c r="H8" s="59"/>
      <c r="I8" s="59"/>
      <c r="J8" s="59"/>
      <c r="K8" s="59"/>
      <c r="L8" s="59"/>
      <c r="M8" s="59"/>
      <c r="N8" s="59"/>
      <c r="O8" s="59"/>
      <c r="P8" s="59"/>
      <c r="Q8" s="59"/>
      <c r="R8" s="59"/>
      <c r="S8" s="59"/>
      <c r="T8" s="59"/>
      <c r="U8" s="59"/>
      <c r="V8" s="59"/>
      <c r="W8" s="59"/>
      <c r="X8" s="59"/>
      <c r="Y8" s="59"/>
      <c r="Z8" s="59"/>
      <c r="AA8" s="59"/>
      <c r="AB8" s="59"/>
      <c r="AC8" s="59"/>
      <c r="AD8" s="59"/>
      <c r="AE8" s="59"/>
      <c r="AF8" s="59"/>
      <c r="AG8" s="59"/>
      <c r="AH8" s="59"/>
      <c r="AI8" s="59"/>
      <c r="AJ8" s="59"/>
      <c r="AK8" s="59"/>
      <c r="AL8" s="59"/>
      <c r="AM8" s="59"/>
      <c r="AN8" s="59"/>
      <c r="AO8" s="59"/>
      <c r="AP8" s="47"/>
      <c r="AQ8" s="47"/>
      <c r="AR8" s="47"/>
      <c r="AS8" s="47"/>
    </row>
    <row r="9" spans="1:45" ht="14.4" customHeight="1" x14ac:dyDescent="0.25">
      <c r="A9" s="46"/>
      <c r="B9" s="46"/>
      <c r="C9" s="46"/>
      <c r="D9" s="46"/>
      <c r="E9" s="46"/>
      <c r="F9" s="59"/>
      <c r="G9" s="59"/>
      <c r="H9" s="59"/>
      <c r="I9" s="59"/>
      <c r="J9" s="59"/>
      <c r="K9" s="59"/>
      <c r="L9" s="59"/>
      <c r="M9" s="59"/>
      <c r="N9" s="59"/>
      <c r="O9" s="59"/>
      <c r="P9" s="59"/>
      <c r="Q9" s="59"/>
      <c r="R9" s="59"/>
      <c r="S9" s="59"/>
      <c r="T9" s="59"/>
      <c r="U9" s="59"/>
      <c r="V9" s="59"/>
      <c r="W9" s="59"/>
      <c r="X9" s="59"/>
      <c r="Y9" s="59"/>
      <c r="Z9" s="59"/>
      <c r="AA9" s="59"/>
      <c r="AB9" s="59"/>
      <c r="AC9" s="59"/>
      <c r="AD9" s="59"/>
      <c r="AE9" s="59"/>
      <c r="AF9" s="59"/>
      <c r="AG9" s="59"/>
      <c r="AH9" s="59"/>
      <c r="AI9" s="59"/>
      <c r="AJ9" s="59"/>
      <c r="AK9" s="59"/>
      <c r="AL9" s="59"/>
      <c r="AM9" s="59"/>
      <c r="AN9" s="59"/>
      <c r="AO9" s="59"/>
      <c r="AP9" s="46"/>
      <c r="AQ9" s="46"/>
      <c r="AR9" s="46"/>
      <c r="AS9" s="46"/>
    </row>
    <row r="10" spans="1:45" ht="14.4" customHeight="1" x14ac:dyDescent="0.25">
      <c r="A10" s="46"/>
      <c r="B10" s="46"/>
      <c r="C10" s="46"/>
      <c r="D10" s="46"/>
      <c r="E10" s="46"/>
      <c r="F10" s="59"/>
      <c r="G10" s="59"/>
      <c r="H10" s="59"/>
      <c r="I10" s="59"/>
      <c r="J10" s="59"/>
      <c r="K10" s="59"/>
      <c r="L10" s="59"/>
      <c r="M10" s="59"/>
      <c r="N10" s="59"/>
      <c r="O10" s="59"/>
      <c r="P10" s="59"/>
      <c r="Q10" s="59"/>
      <c r="R10" s="59"/>
      <c r="S10" s="59"/>
      <c r="T10" s="59"/>
      <c r="U10" s="59"/>
      <c r="V10" s="59"/>
      <c r="W10" s="59"/>
      <c r="X10" s="59"/>
      <c r="Y10" s="59"/>
      <c r="Z10" s="59"/>
      <c r="AA10" s="59"/>
      <c r="AB10" s="59"/>
      <c r="AC10" s="59"/>
      <c r="AD10" s="59"/>
      <c r="AE10" s="59"/>
      <c r="AF10" s="59"/>
      <c r="AG10" s="59"/>
      <c r="AH10" s="59"/>
      <c r="AI10" s="59"/>
      <c r="AJ10" s="59"/>
      <c r="AK10" s="59"/>
      <c r="AL10" s="59"/>
      <c r="AM10" s="59"/>
      <c r="AN10" s="59"/>
      <c r="AO10" s="59"/>
      <c r="AP10" s="46"/>
      <c r="AQ10" s="46"/>
      <c r="AR10" s="46"/>
      <c r="AS10" s="46"/>
    </row>
    <row r="11" spans="1:45" ht="14.4" customHeight="1" x14ac:dyDescent="0.25">
      <c r="A11" s="46"/>
      <c r="B11" s="46"/>
      <c r="C11" s="46"/>
      <c r="D11" s="46"/>
      <c r="AP11" s="46"/>
      <c r="AQ11" s="46"/>
      <c r="AR11" s="46"/>
      <c r="AS11" s="46"/>
    </row>
    <row r="12" spans="1:45" ht="14.4" customHeight="1" thickBot="1" x14ac:dyDescent="0.3">
      <c r="A12" s="46"/>
      <c r="B12" s="46"/>
      <c r="C12" s="46"/>
      <c r="D12" s="46"/>
      <c r="AP12" s="46"/>
      <c r="AQ12" s="46"/>
      <c r="AR12" s="46"/>
      <c r="AS12" s="46"/>
    </row>
    <row r="13" spans="1:45" ht="14.4" customHeight="1" x14ac:dyDescent="0.25">
      <c r="A13" s="46"/>
      <c r="B13" s="46"/>
      <c r="C13" s="46"/>
      <c r="D13" s="46"/>
      <c r="J13" s="60">
        <f>SUM(Dataset!E:E)</f>
        <v>195217.75999999992</v>
      </c>
      <c r="K13" s="61"/>
      <c r="L13" s="61"/>
      <c r="M13" s="61"/>
      <c r="N13" s="61"/>
      <c r="O13" s="62"/>
      <c r="Q13" s="60">
        <f>SUM(Dataset!I:I)</f>
        <v>68287.010000000009</v>
      </c>
      <c r="R13" s="66"/>
      <c r="S13" s="66"/>
      <c r="T13" s="66"/>
      <c r="U13" s="66"/>
      <c r="V13" s="67"/>
      <c r="X13" s="71">
        <f>COUNTA(Dataset!A2:A201)</f>
        <v>200</v>
      </c>
      <c r="Y13" s="61"/>
      <c r="Z13" s="61"/>
      <c r="AA13" s="61"/>
      <c r="AB13" s="61"/>
      <c r="AC13" s="62"/>
      <c r="AE13" s="72">
        <f>AVERAGE(Dataset!G:G)</f>
        <v>9.7250000000000003E-2</v>
      </c>
      <c r="AF13" s="80"/>
      <c r="AG13" s="80"/>
      <c r="AH13" s="80"/>
      <c r="AI13" s="80"/>
      <c r="AJ13" s="81"/>
      <c r="AP13" s="46"/>
      <c r="AQ13" s="46"/>
      <c r="AR13" s="46"/>
      <c r="AS13" s="46"/>
    </row>
    <row r="14" spans="1:45" ht="14.4" customHeight="1" x14ac:dyDescent="0.25">
      <c r="A14" s="46"/>
      <c r="B14" s="46"/>
      <c r="C14" s="46"/>
      <c r="D14" s="46"/>
      <c r="J14" s="63"/>
      <c r="K14" s="64"/>
      <c r="L14" s="64"/>
      <c r="M14" s="64"/>
      <c r="N14" s="64"/>
      <c r="O14" s="65"/>
      <c r="Q14" s="68"/>
      <c r="R14" s="69"/>
      <c r="S14" s="69"/>
      <c r="T14" s="69"/>
      <c r="U14" s="69"/>
      <c r="V14" s="70"/>
      <c r="X14" s="63"/>
      <c r="Y14" s="85"/>
      <c r="Z14" s="85"/>
      <c r="AA14" s="85"/>
      <c r="AB14" s="85"/>
      <c r="AC14" s="65"/>
      <c r="AE14" s="82"/>
      <c r="AF14" s="83"/>
      <c r="AG14" s="83"/>
      <c r="AH14" s="83"/>
      <c r="AI14" s="83"/>
      <c r="AJ14" s="84"/>
      <c r="AP14" s="46"/>
      <c r="AQ14" s="46"/>
      <c r="AR14" s="46"/>
      <c r="AS14" s="46"/>
    </row>
    <row r="15" spans="1:45" ht="14.4" customHeight="1" x14ac:dyDescent="0.25">
      <c r="A15" s="46"/>
      <c r="B15" s="46"/>
      <c r="C15" s="46"/>
      <c r="D15" s="46"/>
      <c r="J15" s="63"/>
      <c r="K15" s="64"/>
      <c r="L15" s="64"/>
      <c r="M15" s="64"/>
      <c r="N15" s="64"/>
      <c r="O15" s="65"/>
      <c r="Q15" s="68"/>
      <c r="R15" s="69"/>
      <c r="S15" s="69"/>
      <c r="T15" s="69"/>
      <c r="U15" s="69"/>
      <c r="V15" s="70"/>
      <c r="X15" s="63"/>
      <c r="Y15" s="85"/>
      <c r="Z15" s="85"/>
      <c r="AA15" s="85"/>
      <c r="AB15" s="85"/>
      <c r="AC15" s="65"/>
      <c r="AE15" s="82"/>
      <c r="AF15" s="83"/>
      <c r="AG15" s="83"/>
      <c r="AH15" s="83"/>
      <c r="AI15" s="83"/>
      <c r="AJ15" s="84"/>
      <c r="AP15" s="46"/>
      <c r="AQ15" s="46"/>
      <c r="AR15" s="46"/>
      <c r="AS15" s="46"/>
    </row>
    <row r="16" spans="1:45" ht="14.4" customHeight="1" x14ac:dyDescent="0.25">
      <c r="A16" s="46"/>
      <c r="B16" s="46"/>
      <c r="C16" s="46"/>
      <c r="D16" s="46"/>
      <c r="J16" s="63"/>
      <c r="K16" s="64"/>
      <c r="L16" s="64"/>
      <c r="M16" s="64"/>
      <c r="N16" s="64"/>
      <c r="O16" s="65"/>
      <c r="Q16" s="68"/>
      <c r="R16" s="69"/>
      <c r="S16" s="69"/>
      <c r="T16" s="69"/>
      <c r="U16" s="69"/>
      <c r="V16" s="70"/>
      <c r="X16" s="63"/>
      <c r="Y16" s="85"/>
      <c r="Z16" s="85"/>
      <c r="AA16" s="85"/>
      <c r="AB16" s="85"/>
      <c r="AC16" s="65"/>
      <c r="AE16" s="82"/>
      <c r="AF16" s="83"/>
      <c r="AG16" s="83"/>
      <c r="AH16" s="83"/>
      <c r="AI16" s="83"/>
      <c r="AJ16" s="84"/>
      <c r="AP16" s="46"/>
      <c r="AQ16" s="46"/>
      <c r="AR16" s="46"/>
      <c r="AS16" s="46"/>
    </row>
    <row r="17" spans="1:45" ht="14.4" customHeight="1" x14ac:dyDescent="0.25">
      <c r="A17" s="46"/>
      <c r="B17" s="46"/>
      <c r="C17" s="46"/>
      <c r="D17" s="46"/>
      <c r="J17" s="63"/>
      <c r="K17" s="64"/>
      <c r="L17" s="64"/>
      <c r="M17" s="64"/>
      <c r="N17" s="64"/>
      <c r="O17" s="65"/>
      <c r="Q17" s="68"/>
      <c r="R17" s="69"/>
      <c r="S17" s="69"/>
      <c r="T17" s="69"/>
      <c r="U17" s="69"/>
      <c r="V17" s="70"/>
      <c r="X17" s="63"/>
      <c r="Y17" s="85"/>
      <c r="Z17" s="85"/>
      <c r="AA17" s="85"/>
      <c r="AB17" s="85"/>
      <c r="AC17" s="65"/>
      <c r="AE17" s="82"/>
      <c r="AF17" s="83"/>
      <c r="AG17" s="83"/>
      <c r="AH17" s="83"/>
      <c r="AI17" s="83"/>
      <c r="AJ17" s="84"/>
      <c r="AP17" s="46"/>
      <c r="AQ17" s="46"/>
      <c r="AR17" s="46"/>
      <c r="AS17" s="46"/>
    </row>
    <row r="18" spans="1:45" ht="14.4" customHeight="1" x14ac:dyDescent="0.25">
      <c r="A18" s="46"/>
      <c r="B18" s="46"/>
      <c r="C18" s="46"/>
      <c r="D18" s="46"/>
      <c r="J18" s="48" t="s">
        <v>121</v>
      </c>
      <c r="K18" s="49"/>
      <c r="L18" s="49"/>
      <c r="M18" s="49"/>
      <c r="N18" s="49"/>
      <c r="O18" s="50"/>
      <c r="Q18" s="48" t="s">
        <v>128</v>
      </c>
      <c r="R18" s="49"/>
      <c r="S18" s="49"/>
      <c r="T18" s="49"/>
      <c r="U18" s="49"/>
      <c r="V18" s="50"/>
      <c r="X18" s="48" t="s">
        <v>157</v>
      </c>
      <c r="Y18" s="54"/>
      <c r="Z18" s="54"/>
      <c r="AA18" s="54"/>
      <c r="AB18" s="54"/>
      <c r="AC18" s="55"/>
      <c r="AE18" s="48" t="s">
        <v>158</v>
      </c>
      <c r="AF18" s="54"/>
      <c r="AG18" s="54"/>
      <c r="AH18" s="54"/>
      <c r="AI18" s="54"/>
      <c r="AJ18" s="55"/>
      <c r="AP18" s="46"/>
      <c r="AQ18" s="46"/>
      <c r="AR18" s="46"/>
      <c r="AS18" s="46"/>
    </row>
    <row r="19" spans="1:45" ht="14.4" customHeight="1" thickBot="1" x14ac:dyDescent="0.3">
      <c r="A19" s="46"/>
      <c r="B19" s="46"/>
      <c r="C19" s="46"/>
      <c r="D19" s="46"/>
      <c r="J19" s="51"/>
      <c r="K19" s="52"/>
      <c r="L19" s="52"/>
      <c r="M19" s="52"/>
      <c r="N19" s="52"/>
      <c r="O19" s="53"/>
      <c r="Q19" s="51"/>
      <c r="R19" s="52"/>
      <c r="S19" s="52"/>
      <c r="T19" s="52"/>
      <c r="U19" s="52"/>
      <c r="V19" s="53"/>
      <c r="X19" s="56"/>
      <c r="Y19" s="57"/>
      <c r="Z19" s="57"/>
      <c r="AA19" s="57"/>
      <c r="AB19" s="57"/>
      <c r="AC19" s="58"/>
      <c r="AE19" s="56"/>
      <c r="AF19" s="57"/>
      <c r="AG19" s="57"/>
      <c r="AH19" s="57"/>
      <c r="AI19" s="57"/>
      <c r="AJ19" s="58"/>
      <c r="AP19" s="46"/>
      <c r="AQ19" s="46"/>
      <c r="AR19" s="46"/>
      <c r="AS19" s="46"/>
    </row>
    <row r="20" spans="1:45" x14ac:dyDescent="0.25">
      <c r="A20" s="46"/>
      <c r="B20" s="46"/>
      <c r="C20" s="46"/>
      <c r="D20" s="46"/>
      <c r="AP20" s="46"/>
      <c r="AQ20" s="46"/>
      <c r="AR20" s="46"/>
      <c r="AS20" s="46"/>
    </row>
    <row r="21" spans="1:45" x14ac:dyDescent="0.25">
      <c r="A21" s="46"/>
      <c r="B21" s="46"/>
      <c r="C21" s="46"/>
      <c r="D21" s="46"/>
      <c r="AP21" s="46"/>
      <c r="AQ21" s="46"/>
      <c r="AR21" s="46"/>
      <c r="AS21" s="46"/>
    </row>
    <row r="22" spans="1:45" x14ac:dyDescent="0.25">
      <c r="A22" s="46"/>
      <c r="B22" s="46"/>
      <c r="C22" s="46"/>
      <c r="D22" s="46"/>
      <c r="AP22" s="46"/>
      <c r="AQ22" s="46"/>
      <c r="AR22" s="46"/>
      <c r="AS22" s="46"/>
    </row>
    <row r="23" spans="1:45" x14ac:dyDescent="0.25">
      <c r="A23" s="46"/>
      <c r="B23" s="46"/>
      <c r="C23" s="46"/>
      <c r="D23" s="46"/>
      <c r="AP23" s="46"/>
      <c r="AQ23" s="46"/>
      <c r="AR23" s="46"/>
      <c r="AS23" s="46"/>
    </row>
    <row r="24" spans="1:45" x14ac:dyDescent="0.25">
      <c r="A24" s="46"/>
      <c r="B24" s="46"/>
      <c r="C24" s="46"/>
      <c r="D24" s="46"/>
      <c r="AP24" s="46"/>
      <c r="AQ24" s="46"/>
      <c r="AR24" s="46"/>
      <c r="AS24" s="46"/>
    </row>
    <row r="25" spans="1:45" x14ac:dyDescent="0.25">
      <c r="A25" s="46"/>
      <c r="B25" s="46"/>
      <c r="C25" s="46"/>
      <c r="D25" s="46"/>
      <c r="AP25" s="46"/>
      <c r="AQ25" s="46"/>
      <c r="AR25" s="46"/>
      <c r="AS25" s="46"/>
    </row>
    <row r="26" spans="1:45" x14ac:dyDescent="0.25">
      <c r="A26" s="46"/>
      <c r="B26" s="46"/>
      <c r="C26" s="46"/>
      <c r="D26" s="46"/>
      <c r="AP26" s="46"/>
      <c r="AQ26" s="46"/>
      <c r="AR26" s="46"/>
      <c r="AS26" s="46"/>
    </row>
    <row r="27" spans="1:45" x14ac:dyDescent="0.25">
      <c r="A27" s="46"/>
      <c r="B27" s="46"/>
      <c r="C27" s="46"/>
      <c r="D27" s="46"/>
      <c r="AP27" s="46"/>
      <c r="AQ27" s="46"/>
      <c r="AR27" s="46"/>
      <c r="AS27" s="46"/>
    </row>
    <row r="28" spans="1:45" x14ac:dyDescent="0.25">
      <c r="A28" s="46"/>
      <c r="B28" s="46"/>
      <c r="C28" s="46"/>
      <c r="D28" s="46"/>
      <c r="AP28" s="46"/>
      <c r="AQ28" s="46"/>
      <c r="AR28" s="46"/>
      <c r="AS28" s="46"/>
    </row>
    <row r="29" spans="1:45" x14ac:dyDescent="0.25">
      <c r="A29" s="46"/>
      <c r="B29" s="46"/>
      <c r="C29" s="46"/>
      <c r="D29" s="46"/>
      <c r="AP29" s="46"/>
      <c r="AQ29" s="46"/>
      <c r="AR29" s="46"/>
      <c r="AS29" s="46"/>
    </row>
    <row r="30" spans="1:45" x14ac:dyDescent="0.25">
      <c r="A30" s="46"/>
      <c r="B30" s="46"/>
      <c r="C30" s="46"/>
      <c r="D30" s="46"/>
      <c r="AP30" s="46"/>
      <c r="AQ30" s="46"/>
      <c r="AR30" s="46"/>
      <c r="AS30" s="46"/>
    </row>
    <row r="31" spans="1:45" x14ac:dyDescent="0.25">
      <c r="A31" s="46"/>
      <c r="B31" s="46"/>
      <c r="C31" s="46"/>
      <c r="D31" s="46"/>
      <c r="AP31" s="46"/>
      <c r="AQ31" s="46"/>
      <c r="AR31" s="46"/>
      <c r="AS31" s="46"/>
    </row>
    <row r="32" spans="1:45" x14ac:dyDescent="0.25">
      <c r="A32" s="46"/>
      <c r="B32" s="46"/>
      <c r="C32" s="46"/>
      <c r="D32" s="46"/>
      <c r="AP32" s="46"/>
      <c r="AQ32" s="46"/>
      <c r="AR32" s="46"/>
      <c r="AS32" s="46"/>
    </row>
    <row r="33" spans="1:45" x14ac:dyDescent="0.25">
      <c r="A33" s="46"/>
      <c r="B33" s="46"/>
      <c r="C33" s="46"/>
      <c r="D33" s="46"/>
      <c r="AP33" s="46"/>
      <c r="AQ33" s="46"/>
      <c r="AR33" s="46"/>
      <c r="AS33" s="46"/>
    </row>
    <row r="34" spans="1:45" x14ac:dyDescent="0.25">
      <c r="A34" s="46"/>
      <c r="B34" s="46"/>
      <c r="C34" s="46"/>
      <c r="D34" s="46"/>
      <c r="AP34" s="46"/>
      <c r="AQ34" s="46"/>
      <c r="AR34" s="46"/>
      <c r="AS34" s="46"/>
    </row>
    <row r="35" spans="1:45" x14ac:dyDescent="0.25">
      <c r="A35" s="46"/>
      <c r="B35" s="46"/>
      <c r="C35" s="46"/>
      <c r="D35" s="46"/>
      <c r="AP35" s="46"/>
      <c r="AQ35" s="46"/>
      <c r="AR35" s="46"/>
      <c r="AS35" s="46"/>
    </row>
    <row r="36" spans="1:45" x14ac:dyDescent="0.25">
      <c r="A36" s="46"/>
      <c r="B36" s="46"/>
      <c r="C36" s="46"/>
      <c r="D36" s="46"/>
      <c r="AP36" s="46"/>
      <c r="AQ36" s="46"/>
      <c r="AR36" s="46"/>
      <c r="AS36" s="46"/>
    </row>
    <row r="37" spans="1:45" x14ac:dyDescent="0.25">
      <c r="A37" s="46"/>
      <c r="B37" s="46"/>
      <c r="C37" s="46"/>
      <c r="D37" s="46"/>
      <c r="AP37" s="46"/>
      <c r="AQ37" s="46"/>
      <c r="AR37" s="46"/>
      <c r="AS37" s="46"/>
    </row>
    <row r="38" spans="1:45" x14ac:dyDescent="0.25">
      <c r="A38" s="46"/>
      <c r="B38" s="46"/>
      <c r="C38" s="46"/>
      <c r="D38" s="46"/>
      <c r="AP38" s="46"/>
      <c r="AQ38" s="46"/>
      <c r="AR38" s="46"/>
      <c r="AS38" s="46"/>
    </row>
    <row r="39" spans="1:45" x14ac:dyDescent="0.25">
      <c r="A39" s="46"/>
      <c r="B39" s="46"/>
      <c r="C39" s="46"/>
      <c r="D39" s="46"/>
      <c r="AP39" s="46"/>
      <c r="AQ39" s="46"/>
      <c r="AR39" s="46"/>
      <c r="AS39" s="46"/>
    </row>
    <row r="40" spans="1:45" x14ac:dyDescent="0.25">
      <c r="A40" s="46"/>
      <c r="B40" s="46"/>
      <c r="C40" s="46"/>
      <c r="D40" s="46"/>
      <c r="AP40" s="46"/>
      <c r="AQ40" s="46"/>
      <c r="AR40" s="46"/>
      <c r="AS40" s="46"/>
    </row>
    <row r="41" spans="1:45" x14ac:dyDescent="0.25">
      <c r="A41" s="46"/>
      <c r="B41" s="46"/>
      <c r="C41" s="46"/>
      <c r="D41" s="46"/>
      <c r="AP41" s="46"/>
      <c r="AQ41" s="46"/>
      <c r="AR41" s="46"/>
      <c r="AS41" s="46"/>
    </row>
    <row r="42" spans="1:45" x14ac:dyDescent="0.25">
      <c r="A42" s="46"/>
      <c r="B42" s="46"/>
      <c r="C42" s="46"/>
      <c r="D42" s="46"/>
      <c r="AP42" s="46"/>
      <c r="AQ42" s="46"/>
      <c r="AR42" s="46"/>
      <c r="AS42" s="46"/>
    </row>
    <row r="43" spans="1:45" x14ac:dyDescent="0.25">
      <c r="A43" s="46"/>
      <c r="B43" s="46"/>
      <c r="C43" s="46"/>
      <c r="D43" s="46"/>
      <c r="AP43" s="46"/>
      <c r="AQ43" s="46"/>
      <c r="AR43" s="46"/>
      <c r="AS43" s="46"/>
    </row>
    <row r="44" spans="1:45" x14ac:dyDescent="0.25">
      <c r="A44" s="46"/>
      <c r="B44" s="46"/>
      <c r="C44" s="46"/>
      <c r="D44" s="46"/>
      <c r="AP44" s="46"/>
      <c r="AQ44" s="46"/>
      <c r="AR44" s="46"/>
      <c r="AS44" s="46"/>
    </row>
    <row r="45" spans="1:45" x14ac:dyDescent="0.25">
      <c r="A45" s="46"/>
      <c r="B45" s="46"/>
      <c r="C45" s="46"/>
      <c r="D45" s="46"/>
      <c r="AP45" s="46"/>
      <c r="AQ45" s="46"/>
      <c r="AR45" s="46"/>
      <c r="AS45" s="46"/>
    </row>
    <row r="46" spans="1:45" x14ac:dyDescent="0.25">
      <c r="A46" s="46"/>
      <c r="B46" s="46"/>
      <c r="C46" s="46"/>
      <c r="D46" s="46"/>
      <c r="AP46" s="46"/>
      <c r="AQ46" s="46"/>
      <c r="AR46" s="46"/>
      <c r="AS46" s="46"/>
    </row>
    <row r="47" spans="1:45" x14ac:dyDescent="0.25">
      <c r="A47" s="46"/>
      <c r="B47" s="46"/>
      <c r="C47" s="46"/>
      <c r="D47" s="46"/>
      <c r="AP47" s="46"/>
      <c r="AQ47" s="46"/>
      <c r="AR47" s="46"/>
      <c r="AS47" s="46"/>
    </row>
    <row r="48" spans="1:45" x14ac:dyDescent="0.25">
      <c r="A48" s="46"/>
      <c r="B48" s="46"/>
      <c r="C48" s="46"/>
      <c r="D48" s="46"/>
      <c r="AP48" s="46"/>
      <c r="AQ48" s="46"/>
      <c r="AR48" s="46"/>
      <c r="AS48" s="46"/>
    </row>
    <row r="49" spans="1:45" x14ac:dyDescent="0.25">
      <c r="A49" s="46"/>
      <c r="B49" s="46"/>
      <c r="C49" s="46"/>
      <c r="D49" s="46"/>
      <c r="AP49" s="46"/>
      <c r="AQ49" s="46"/>
      <c r="AR49" s="46"/>
      <c r="AS49" s="46"/>
    </row>
    <row r="50" spans="1:45" x14ac:dyDescent="0.25">
      <c r="A50" s="46"/>
      <c r="B50" s="46"/>
      <c r="C50" s="46"/>
      <c r="D50" s="46"/>
      <c r="AP50" s="46"/>
      <c r="AQ50" s="46"/>
      <c r="AR50" s="46"/>
      <c r="AS50" s="46"/>
    </row>
    <row r="51" spans="1:45" x14ac:dyDescent="0.25">
      <c r="A51" s="46"/>
      <c r="B51" s="46"/>
      <c r="C51" s="46"/>
      <c r="D51" s="46"/>
      <c r="AP51" s="46"/>
      <c r="AQ51" s="46"/>
      <c r="AR51" s="46"/>
      <c r="AS51" s="46"/>
    </row>
    <row r="52" spans="1:45" x14ac:dyDescent="0.25">
      <c r="A52" s="46"/>
      <c r="B52" s="46"/>
      <c r="C52" s="46"/>
      <c r="D52" s="46"/>
      <c r="AP52" s="46"/>
      <c r="AQ52" s="46"/>
      <c r="AR52" s="46"/>
      <c r="AS52" s="46"/>
    </row>
    <row r="53" spans="1:45" x14ac:dyDescent="0.25">
      <c r="A53" s="46"/>
      <c r="B53" s="46"/>
      <c r="C53" s="46"/>
      <c r="D53" s="46"/>
      <c r="AP53" s="46"/>
      <c r="AQ53" s="46"/>
      <c r="AR53" s="46"/>
      <c r="AS53" s="46"/>
    </row>
    <row r="54" spans="1:45" x14ac:dyDescent="0.25">
      <c r="A54" s="46"/>
      <c r="B54" s="46"/>
      <c r="C54" s="46"/>
      <c r="D54" s="46"/>
      <c r="AP54" s="46"/>
      <c r="AQ54" s="46"/>
      <c r="AR54" s="46"/>
      <c r="AS54" s="46"/>
    </row>
    <row r="55" spans="1:45" x14ac:dyDescent="0.25">
      <c r="A55" s="46"/>
      <c r="B55" s="46"/>
      <c r="C55" s="46"/>
      <c r="D55" s="46"/>
      <c r="AP55" s="46"/>
      <c r="AQ55" s="46"/>
      <c r="AR55" s="46"/>
      <c r="AS55" s="46"/>
    </row>
    <row r="56" spans="1:45" x14ac:dyDescent="0.25">
      <c r="A56" s="46"/>
      <c r="B56" s="46"/>
      <c r="C56" s="46"/>
      <c r="D56" s="46"/>
      <c r="AP56" s="46"/>
      <c r="AQ56" s="46"/>
      <c r="AR56" s="46"/>
      <c r="AS56" s="46"/>
    </row>
    <row r="57" spans="1:45" x14ac:dyDescent="0.25">
      <c r="A57" s="46"/>
      <c r="B57" s="46"/>
      <c r="C57" s="46"/>
      <c r="D57" s="46"/>
      <c r="AP57" s="46"/>
      <c r="AQ57" s="46"/>
      <c r="AR57" s="46"/>
      <c r="AS57" s="46"/>
    </row>
    <row r="58" spans="1:45" x14ac:dyDescent="0.25">
      <c r="A58" s="46"/>
      <c r="B58" s="46"/>
      <c r="C58" s="46"/>
      <c r="D58" s="46"/>
      <c r="AP58" s="46"/>
      <c r="AQ58" s="46"/>
      <c r="AR58" s="46"/>
      <c r="AS58" s="46"/>
    </row>
    <row r="59" spans="1:45" x14ac:dyDescent="0.25">
      <c r="A59" s="46"/>
      <c r="B59" s="46"/>
      <c r="C59" s="46"/>
      <c r="D59" s="46"/>
      <c r="AP59" s="46"/>
      <c r="AQ59" s="46"/>
      <c r="AR59" s="46"/>
      <c r="AS59" s="46"/>
    </row>
    <row r="60" spans="1:45" x14ac:dyDescent="0.25">
      <c r="A60" s="46"/>
      <c r="B60" s="46"/>
      <c r="C60" s="46"/>
      <c r="D60" s="46"/>
      <c r="AP60" s="46"/>
      <c r="AQ60" s="46"/>
      <c r="AR60" s="46"/>
      <c r="AS60" s="46"/>
    </row>
    <row r="61" spans="1:45" x14ac:dyDescent="0.25">
      <c r="A61" s="46"/>
      <c r="B61" s="46"/>
      <c r="C61" s="46"/>
      <c r="D61" s="46"/>
      <c r="AP61" s="46"/>
      <c r="AQ61" s="46"/>
      <c r="AR61" s="46"/>
      <c r="AS61" s="46"/>
    </row>
    <row r="62" spans="1:45" x14ac:dyDescent="0.25">
      <c r="A62" s="46"/>
      <c r="B62" s="46"/>
      <c r="C62" s="46"/>
      <c r="D62" s="46"/>
      <c r="AP62" s="46"/>
      <c r="AQ62" s="46"/>
      <c r="AR62" s="46"/>
      <c r="AS62" s="46"/>
    </row>
    <row r="63" spans="1:45" x14ac:dyDescent="0.25">
      <c r="A63" s="46"/>
      <c r="B63" s="46"/>
      <c r="C63" s="46"/>
      <c r="D63" s="46"/>
      <c r="AP63" s="46"/>
      <c r="AQ63" s="46"/>
      <c r="AR63" s="46"/>
      <c r="AS63" s="46"/>
    </row>
    <row r="64" spans="1:45" x14ac:dyDescent="0.25">
      <c r="A64" s="46"/>
      <c r="B64" s="46"/>
      <c r="C64" s="46"/>
      <c r="D64" s="46"/>
      <c r="AP64" s="46"/>
      <c r="AQ64" s="46"/>
      <c r="AR64" s="46"/>
      <c r="AS64" s="46"/>
    </row>
    <row r="65" spans="1:45" x14ac:dyDescent="0.25">
      <c r="A65" s="46"/>
      <c r="B65" s="46"/>
      <c r="C65" s="46"/>
      <c r="D65" s="46"/>
      <c r="AP65" s="46"/>
      <c r="AQ65" s="46"/>
      <c r="AR65" s="46"/>
      <c r="AS65" s="46"/>
    </row>
    <row r="66" spans="1:45" x14ac:dyDescent="0.25">
      <c r="A66" s="46"/>
      <c r="B66" s="46"/>
      <c r="C66" s="46"/>
      <c r="D66" s="46"/>
      <c r="AP66" s="46"/>
      <c r="AQ66" s="46"/>
      <c r="AR66" s="46"/>
      <c r="AS66" s="46"/>
    </row>
    <row r="67" spans="1:45" x14ac:dyDescent="0.25">
      <c r="A67" s="46"/>
      <c r="B67" s="46"/>
      <c r="C67" s="46"/>
      <c r="D67" s="46"/>
      <c r="AP67" s="46"/>
      <c r="AQ67" s="46"/>
      <c r="AR67" s="46"/>
      <c r="AS67" s="46"/>
    </row>
    <row r="68" spans="1:45" x14ac:dyDescent="0.25">
      <c r="A68" s="46"/>
      <c r="B68" s="46"/>
      <c r="C68" s="46"/>
      <c r="D68" s="46"/>
      <c r="AP68" s="46"/>
      <c r="AQ68" s="46"/>
      <c r="AR68" s="46"/>
      <c r="AS68" s="46"/>
    </row>
    <row r="69" spans="1:45" x14ac:dyDescent="0.25">
      <c r="A69" s="46"/>
      <c r="B69" s="46"/>
      <c r="C69" s="46"/>
      <c r="D69" s="46"/>
      <c r="AP69" s="46"/>
      <c r="AQ69" s="46"/>
      <c r="AR69" s="46"/>
      <c r="AS69" s="46"/>
    </row>
    <row r="70" spans="1:45" x14ac:dyDescent="0.25">
      <c r="A70" s="46"/>
      <c r="B70" s="46"/>
      <c r="C70" s="46"/>
      <c r="D70" s="46"/>
      <c r="AP70" s="46"/>
      <c r="AQ70" s="46"/>
      <c r="AR70" s="46"/>
      <c r="AS70" s="46"/>
    </row>
    <row r="71" spans="1:45" x14ac:dyDescent="0.25">
      <c r="A71" s="46"/>
      <c r="B71" s="46"/>
      <c r="C71" s="46"/>
      <c r="D71" s="46"/>
      <c r="AP71" s="46"/>
      <c r="AQ71" s="46"/>
      <c r="AR71" s="46"/>
      <c r="AS71" s="46"/>
    </row>
    <row r="72" spans="1:45" x14ac:dyDescent="0.25">
      <c r="A72" s="46"/>
      <c r="B72" s="46"/>
      <c r="C72" s="46"/>
      <c r="D72" s="46"/>
      <c r="AP72" s="46"/>
      <c r="AQ72" s="46"/>
      <c r="AR72" s="46"/>
      <c r="AS72" s="46"/>
    </row>
    <row r="73" spans="1:45" x14ac:dyDescent="0.25">
      <c r="A73" s="46"/>
      <c r="B73" s="46"/>
      <c r="C73" s="46"/>
      <c r="D73" s="46"/>
      <c r="AP73" s="46"/>
      <c r="AQ73" s="46"/>
      <c r="AR73" s="46"/>
      <c r="AS73" s="46"/>
    </row>
    <row r="74" spans="1:45" x14ac:dyDescent="0.25">
      <c r="A74" s="46"/>
      <c r="B74" s="46"/>
      <c r="C74" s="46"/>
      <c r="D74" s="46"/>
      <c r="AP74" s="46"/>
      <c r="AQ74" s="46"/>
      <c r="AR74" s="46"/>
      <c r="AS74" s="46"/>
    </row>
    <row r="75" spans="1:45" x14ac:dyDescent="0.25">
      <c r="A75" s="46"/>
      <c r="B75" s="46"/>
      <c r="C75" s="46"/>
      <c r="D75" s="46"/>
      <c r="AP75" s="46"/>
      <c r="AQ75" s="46"/>
      <c r="AR75" s="46"/>
      <c r="AS75" s="46"/>
    </row>
    <row r="76" spans="1:45" x14ac:dyDescent="0.25">
      <c r="A76" s="46"/>
      <c r="B76" s="46"/>
      <c r="C76" s="46"/>
      <c r="D76" s="46"/>
      <c r="AP76" s="46"/>
      <c r="AQ76" s="46"/>
      <c r="AR76" s="46"/>
      <c r="AS76" s="46"/>
    </row>
    <row r="77" spans="1:45" x14ac:dyDescent="0.25">
      <c r="A77" s="46"/>
      <c r="B77" s="46"/>
      <c r="C77" s="46"/>
      <c r="D77" s="46"/>
      <c r="AP77" s="46"/>
      <c r="AQ77" s="46"/>
      <c r="AR77" s="46"/>
      <c r="AS77" s="46"/>
    </row>
    <row r="78" spans="1:45" x14ac:dyDescent="0.25">
      <c r="A78" s="46"/>
      <c r="B78" s="46"/>
      <c r="C78" s="46"/>
      <c r="D78" s="46"/>
      <c r="AP78" s="46"/>
      <c r="AQ78" s="46"/>
      <c r="AR78" s="46"/>
      <c r="AS78" s="46"/>
    </row>
    <row r="79" spans="1:45" x14ac:dyDescent="0.25">
      <c r="A79" s="46"/>
      <c r="B79" s="46"/>
      <c r="C79" s="46"/>
      <c r="D79" s="46"/>
      <c r="AP79" s="46"/>
      <c r="AQ79" s="46"/>
      <c r="AR79" s="46"/>
      <c r="AS79" s="46"/>
    </row>
    <row r="80" spans="1:45" x14ac:dyDescent="0.25">
      <c r="A80" s="46"/>
      <c r="B80" s="46"/>
      <c r="C80" s="46"/>
      <c r="D80" s="46"/>
      <c r="AP80" s="46"/>
      <c r="AQ80" s="46"/>
      <c r="AR80" s="46"/>
      <c r="AS80" s="46"/>
    </row>
    <row r="81" spans="1:45" x14ac:dyDescent="0.25">
      <c r="A81" s="46"/>
      <c r="B81" s="46"/>
      <c r="C81" s="46"/>
      <c r="D81" s="46"/>
      <c r="AP81" s="46"/>
      <c r="AQ81" s="46"/>
      <c r="AR81" s="46"/>
      <c r="AS81" s="46"/>
    </row>
    <row r="82" spans="1:45" x14ac:dyDescent="0.25">
      <c r="A82" s="46"/>
      <c r="B82" s="46"/>
      <c r="C82" s="46"/>
      <c r="D82" s="46"/>
      <c r="AP82" s="46"/>
      <c r="AQ82" s="46"/>
      <c r="AR82" s="46"/>
      <c r="AS82" s="46"/>
    </row>
    <row r="83" spans="1:45" x14ac:dyDescent="0.25">
      <c r="A83" s="46"/>
      <c r="B83" s="46"/>
      <c r="C83" s="46"/>
      <c r="D83" s="46"/>
      <c r="AP83" s="46"/>
      <c r="AQ83" s="46"/>
      <c r="AR83" s="46"/>
      <c r="AS83" s="46"/>
    </row>
    <row r="84" spans="1:45" x14ac:dyDescent="0.25">
      <c r="A84" s="46"/>
      <c r="B84" s="46"/>
      <c r="C84" s="46"/>
      <c r="D84" s="46"/>
      <c r="AP84" s="46"/>
      <c r="AQ84" s="46"/>
      <c r="AR84" s="46"/>
      <c r="AS84" s="46"/>
    </row>
    <row r="85" spans="1:45" x14ac:dyDescent="0.25">
      <c r="A85" s="46"/>
      <c r="B85" s="46"/>
      <c r="C85" s="46"/>
      <c r="D85" s="46"/>
      <c r="AP85" s="46"/>
      <c r="AQ85" s="46"/>
      <c r="AR85" s="46"/>
      <c r="AS85" s="46"/>
    </row>
    <row r="86" spans="1:45" x14ac:dyDescent="0.25">
      <c r="A86" s="46"/>
      <c r="B86" s="46"/>
      <c r="C86" s="46"/>
      <c r="D86" s="46"/>
      <c r="AP86" s="46"/>
      <c r="AQ86" s="46"/>
      <c r="AR86" s="46"/>
      <c r="AS86" s="46"/>
    </row>
    <row r="87" spans="1:45" x14ac:dyDescent="0.25">
      <c r="A87" s="46"/>
      <c r="B87" s="46"/>
      <c r="C87" s="46"/>
      <c r="D87" s="46"/>
      <c r="AP87" s="46"/>
      <c r="AQ87" s="46"/>
      <c r="AR87" s="46"/>
      <c r="AS87" s="46"/>
    </row>
    <row r="88" spans="1:45" x14ac:dyDescent="0.25">
      <c r="A88" s="46"/>
      <c r="B88" s="46"/>
      <c r="C88" s="46"/>
      <c r="D88" s="46"/>
      <c r="AP88" s="46"/>
      <c r="AQ88" s="46"/>
      <c r="AR88" s="46"/>
      <c r="AS88" s="46"/>
    </row>
    <row r="89" spans="1:45" x14ac:dyDescent="0.25">
      <c r="A89" s="46"/>
      <c r="B89" s="46"/>
      <c r="C89" s="46"/>
      <c r="D89" s="46"/>
      <c r="AP89" s="46"/>
      <c r="AQ89" s="46"/>
      <c r="AR89" s="46"/>
      <c r="AS89" s="46"/>
    </row>
    <row r="90" spans="1:45" x14ac:dyDescent="0.25">
      <c r="A90" s="46"/>
      <c r="B90" s="46"/>
      <c r="C90" s="46"/>
      <c r="D90" s="46"/>
      <c r="AP90" s="46"/>
      <c r="AQ90" s="46"/>
      <c r="AR90" s="46"/>
      <c r="AS90" s="46"/>
    </row>
    <row r="91" spans="1:45" x14ac:dyDescent="0.25">
      <c r="A91" s="46"/>
      <c r="B91" s="46"/>
      <c r="C91" s="46"/>
      <c r="D91" s="46"/>
      <c r="AP91" s="46"/>
      <c r="AQ91" s="46"/>
      <c r="AR91" s="46"/>
      <c r="AS91" s="46"/>
    </row>
    <row r="92" spans="1:45" x14ac:dyDescent="0.25">
      <c r="A92" s="46"/>
      <c r="B92" s="46"/>
      <c r="C92" s="46"/>
      <c r="D92" s="46"/>
      <c r="AP92" s="46"/>
      <c r="AQ92" s="46"/>
      <c r="AR92" s="46"/>
      <c r="AS92" s="46"/>
    </row>
    <row r="93" spans="1:45" x14ac:dyDescent="0.25">
      <c r="A93" s="46"/>
      <c r="B93" s="46"/>
      <c r="C93" s="46"/>
      <c r="D93" s="46"/>
      <c r="AP93" s="46"/>
      <c r="AQ93" s="46"/>
      <c r="AR93" s="46"/>
      <c r="AS93" s="46"/>
    </row>
    <row r="94" spans="1:45" x14ac:dyDescent="0.25">
      <c r="A94" s="46"/>
      <c r="B94" s="46"/>
      <c r="C94" s="46"/>
      <c r="D94" s="46"/>
      <c r="AP94" s="46"/>
      <c r="AQ94" s="46"/>
      <c r="AR94" s="46"/>
      <c r="AS94" s="46"/>
    </row>
    <row r="95" spans="1:45" x14ac:dyDescent="0.25">
      <c r="A95" s="46"/>
      <c r="B95" s="46"/>
      <c r="C95" s="46"/>
      <c r="D95" s="46"/>
      <c r="AP95" s="46"/>
      <c r="AQ95" s="46"/>
      <c r="AR95" s="46"/>
      <c r="AS95" s="46"/>
    </row>
    <row r="96" spans="1:45" x14ac:dyDescent="0.25">
      <c r="A96" s="46"/>
      <c r="B96" s="46"/>
      <c r="C96" s="46"/>
      <c r="D96" s="46"/>
      <c r="AP96" s="46"/>
      <c r="AQ96" s="46"/>
      <c r="AR96" s="46"/>
      <c r="AS96" s="46"/>
    </row>
    <row r="97" spans="1:45" x14ac:dyDescent="0.25">
      <c r="A97" s="46"/>
      <c r="B97" s="46"/>
      <c r="C97" s="46"/>
      <c r="D97" s="46"/>
      <c r="AP97" s="46"/>
      <c r="AQ97" s="46"/>
      <c r="AR97" s="46"/>
      <c r="AS97" s="46"/>
    </row>
    <row r="98" spans="1:45" x14ac:dyDescent="0.25">
      <c r="A98" s="46"/>
      <c r="B98" s="46"/>
      <c r="C98" s="46"/>
      <c r="D98" s="46"/>
      <c r="AP98" s="46"/>
      <c r="AQ98" s="46"/>
      <c r="AR98" s="46"/>
      <c r="AS98" s="46"/>
    </row>
    <row r="99" spans="1:45" x14ac:dyDescent="0.25">
      <c r="A99" s="46"/>
      <c r="B99" s="46"/>
      <c r="C99" s="46"/>
      <c r="D99" s="46"/>
      <c r="AP99" s="46"/>
      <c r="AQ99" s="46"/>
      <c r="AR99" s="46"/>
      <c r="AS99" s="46"/>
    </row>
    <row r="100" spans="1:45" x14ac:dyDescent="0.25">
      <c r="A100" s="46"/>
      <c r="B100" s="46"/>
      <c r="C100" s="46"/>
      <c r="D100" s="46"/>
      <c r="AP100" s="46"/>
      <c r="AQ100" s="46"/>
      <c r="AR100" s="46"/>
      <c r="AS100" s="46"/>
    </row>
    <row r="101" spans="1:45" x14ac:dyDescent="0.25">
      <c r="A101" s="46"/>
      <c r="B101" s="46"/>
      <c r="C101" s="46"/>
      <c r="D101" s="46"/>
      <c r="AP101" s="46"/>
      <c r="AQ101" s="46"/>
      <c r="AR101" s="46"/>
      <c r="AS101" s="46"/>
    </row>
    <row r="102" spans="1:45" x14ac:dyDescent="0.25">
      <c r="A102" s="46"/>
      <c r="B102" s="46"/>
      <c r="C102" s="46"/>
      <c r="D102" s="46"/>
      <c r="AP102" s="46"/>
      <c r="AQ102" s="46"/>
      <c r="AR102" s="46"/>
      <c r="AS102" s="46"/>
    </row>
    <row r="103" spans="1:45" x14ac:dyDescent="0.25">
      <c r="A103" s="46"/>
      <c r="B103" s="46"/>
      <c r="C103" s="46"/>
      <c r="D103" s="46"/>
      <c r="AP103" s="46"/>
      <c r="AQ103" s="46"/>
      <c r="AR103" s="46"/>
      <c r="AS103" s="46"/>
    </row>
    <row r="104" spans="1:45" x14ac:dyDescent="0.25">
      <c r="A104" s="46"/>
      <c r="B104" s="46"/>
      <c r="C104" s="46"/>
      <c r="D104" s="46"/>
      <c r="AP104" s="46"/>
      <c r="AQ104" s="46"/>
      <c r="AR104" s="46"/>
      <c r="AS104" s="46"/>
    </row>
    <row r="105" spans="1:45" x14ac:dyDescent="0.25">
      <c r="A105" s="46"/>
      <c r="B105" s="46"/>
      <c r="C105" s="46"/>
      <c r="D105" s="46"/>
      <c r="AP105" s="46"/>
      <c r="AQ105" s="46"/>
      <c r="AR105" s="46"/>
      <c r="AS105" s="46"/>
    </row>
    <row r="106" spans="1:45" x14ac:dyDescent="0.25">
      <c r="A106" s="46"/>
      <c r="B106" s="46"/>
      <c r="C106" s="46"/>
      <c r="D106" s="46"/>
      <c r="AP106" s="46"/>
      <c r="AQ106" s="46"/>
      <c r="AR106" s="46"/>
      <c r="AS106" s="46"/>
    </row>
    <row r="107" spans="1:45" x14ac:dyDescent="0.25">
      <c r="A107" s="46"/>
      <c r="B107" s="46"/>
      <c r="C107" s="46"/>
      <c r="D107" s="46"/>
      <c r="AP107" s="46"/>
      <c r="AQ107" s="46"/>
      <c r="AR107" s="46"/>
      <c r="AS107" s="46"/>
    </row>
    <row r="108" spans="1:45" x14ac:dyDescent="0.25">
      <c r="A108" s="46"/>
      <c r="B108" s="46"/>
      <c r="C108" s="46"/>
      <c r="D108" s="46"/>
      <c r="AP108" s="46"/>
      <c r="AQ108" s="46"/>
      <c r="AR108" s="46"/>
      <c r="AS108" s="46"/>
    </row>
    <row r="109" spans="1:45" x14ac:dyDescent="0.25">
      <c r="A109" s="46"/>
      <c r="B109" s="46"/>
      <c r="C109" s="46"/>
      <c r="D109" s="46"/>
      <c r="AP109" s="46"/>
      <c r="AQ109" s="46"/>
      <c r="AR109" s="46"/>
      <c r="AS109" s="46"/>
    </row>
    <row r="110" spans="1:45" x14ac:dyDescent="0.25">
      <c r="A110" s="46"/>
      <c r="B110" s="46"/>
      <c r="C110" s="46"/>
      <c r="D110" s="46"/>
      <c r="AP110" s="46"/>
      <c r="AQ110" s="46"/>
      <c r="AR110" s="46"/>
      <c r="AS110" s="46"/>
    </row>
    <row r="111" spans="1:45" x14ac:dyDescent="0.25">
      <c r="A111" s="46"/>
      <c r="B111" s="46"/>
      <c r="C111" s="46"/>
      <c r="D111" s="46"/>
      <c r="AP111" s="46"/>
      <c r="AQ111" s="46"/>
      <c r="AR111" s="46"/>
      <c r="AS111" s="46"/>
    </row>
    <row r="112" spans="1:45" x14ac:dyDescent="0.25">
      <c r="A112" s="46"/>
      <c r="B112" s="46"/>
      <c r="C112" s="46"/>
      <c r="D112" s="46"/>
      <c r="AP112" s="46"/>
      <c r="AQ112" s="46"/>
      <c r="AR112" s="46"/>
      <c r="AS112" s="46"/>
    </row>
    <row r="113" spans="1:45" x14ac:dyDescent="0.25">
      <c r="A113" s="46"/>
      <c r="B113" s="46"/>
      <c r="C113" s="46"/>
      <c r="D113" s="46"/>
      <c r="AP113" s="46"/>
      <c r="AQ113" s="46"/>
      <c r="AR113" s="46"/>
      <c r="AS113" s="46"/>
    </row>
    <row r="114" spans="1:45" x14ac:dyDescent="0.25">
      <c r="A114" s="46"/>
      <c r="B114" s="46"/>
      <c r="C114" s="46"/>
      <c r="D114" s="46"/>
      <c r="AP114" s="46"/>
      <c r="AQ114" s="46"/>
      <c r="AR114" s="46"/>
      <c r="AS114" s="46"/>
    </row>
    <row r="115" spans="1:45" x14ac:dyDescent="0.25">
      <c r="A115" s="46"/>
      <c r="B115" s="46"/>
      <c r="C115" s="46"/>
      <c r="D115" s="46"/>
      <c r="AP115" s="46"/>
      <c r="AQ115" s="46"/>
      <c r="AR115" s="46"/>
      <c r="AS115" s="46"/>
    </row>
    <row r="116" spans="1:45" x14ac:dyDescent="0.25">
      <c r="A116" s="46"/>
      <c r="B116" s="46"/>
      <c r="C116" s="46"/>
      <c r="D116" s="46"/>
      <c r="AP116" s="46"/>
      <c r="AQ116" s="46"/>
      <c r="AR116" s="46"/>
      <c r="AS116" s="46"/>
    </row>
    <row r="117" spans="1:45" x14ac:dyDescent="0.25">
      <c r="A117" s="46"/>
      <c r="B117" s="46"/>
      <c r="C117" s="46"/>
      <c r="D117" s="46"/>
      <c r="AP117" s="46"/>
      <c r="AQ117" s="46"/>
      <c r="AR117" s="46"/>
      <c r="AS117" s="46"/>
    </row>
    <row r="118" spans="1:45" x14ac:dyDescent="0.25">
      <c r="A118" s="46"/>
      <c r="B118" s="46"/>
      <c r="C118" s="46"/>
      <c r="D118" s="46"/>
      <c r="AP118" s="46"/>
      <c r="AQ118" s="46"/>
      <c r="AR118" s="46"/>
      <c r="AS118" s="46"/>
    </row>
    <row r="119" spans="1:45" x14ac:dyDescent="0.25">
      <c r="A119" s="46"/>
      <c r="B119" s="46"/>
      <c r="C119" s="46"/>
      <c r="D119" s="46"/>
      <c r="AP119" s="46"/>
      <c r="AQ119" s="46"/>
      <c r="AR119" s="46"/>
      <c r="AS119" s="46"/>
    </row>
    <row r="120" spans="1:45" x14ac:dyDescent="0.25">
      <c r="A120" s="46"/>
      <c r="B120" s="46"/>
      <c r="C120" s="46"/>
      <c r="D120" s="46"/>
      <c r="AP120" s="46"/>
      <c r="AQ120" s="46"/>
      <c r="AR120" s="46"/>
      <c r="AS120" s="46"/>
    </row>
    <row r="121" spans="1:45" x14ac:dyDescent="0.25">
      <c r="A121" s="46"/>
      <c r="B121" s="46"/>
      <c r="C121" s="46"/>
      <c r="D121" s="46"/>
      <c r="AP121" s="46"/>
      <c r="AQ121" s="46"/>
      <c r="AR121" s="46"/>
      <c r="AS121" s="46"/>
    </row>
    <row r="122" spans="1:45" x14ac:dyDescent="0.25">
      <c r="A122" s="46"/>
      <c r="B122" s="46"/>
      <c r="C122" s="46"/>
      <c r="D122" s="46"/>
      <c r="AP122" s="46"/>
      <c r="AQ122" s="46"/>
      <c r="AR122" s="46"/>
      <c r="AS122" s="46"/>
    </row>
    <row r="123" spans="1:45" x14ac:dyDescent="0.25">
      <c r="A123" s="46"/>
      <c r="B123" s="46"/>
      <c r="C123" s="46"/>
      <c r="D123" s="46"/>
      <c r="AP123" s="46"/>
      <c r="AQ123" s="46"/>
      <c r="AR123" s="46"/>
      <c r="AS123" s="46"/>
    </row>
    <row r="124" spans="1:45" x14ac:dyDescent="0.25">
      <c r="A124" s="46"/>
      <c r="B124" s="46"/>
      <c r="C124" s="46"/>
      <c r="D124" s="46"/>
      <c r="AP124" s="46"/>
      <c r="AQ124" s="46"/>
      <c r="AR124" s="46"/>
      <c r="AS124" s="46"/>
    </row>
    <row r="125" spans="1:45" x14ac:dyDescent="0.25">
      <c r="A125" s="46"/>
      <c r="B125" s="46"/>
      <c r="C125" s="46"/>
      <c r="D125" s="46"/>
      <c r="AP125" s="46"/>
      <c r="AQ125" s="46"/>
      <c r="AR125" s="46"/>
      <c r="AS125" s="46"/>
    </row>
    <row r="126" spans="1:45" x14ac:dyDescent="0.25">
      <c r="A126" s="46"/>
      <c r="B126" s="46"/>
      <c r="C126" s="46"/>
      <c r="D126" s="46"/>
      <c r="AP126" s="46"/>
      <c r="AQ126" s="46"/>
      <c r="AR126" s="46"/>
      <c r="AS126" s="46"/>
    </row>
    <row r="127" spans="1:45" x14ac:dyDescent="0.25">
      <c r="A127" s="46"/>
      <c r="B127" s="46"/>
      <c r="C127" s="46"/>
      <c r="D127" s="46"/>
      <c r="AP127" s="46"/>
      <c r="AQ127" s="46"/>
      <c r="AR127" s="46"/>
      <c r="AS127" s="46"/>
    </row>
    <row r="128" spans="1:45" x14ac:dyDescent="0.25">
      <c r="A128" s="46"/>
      <c r="B128" s="46"/>
      <c r="C128" s="46"/>
      <c r="D128" s="46"/>
      <c r="AP128" s="46"/>
      <c r="AQ128" s="46"/>
      <c r="AR128" s="46"/>
      <c r="AS128" s="46"/>
    </row>
    <row r="129" spans="1:45" x14ac:dyDescent="0.25">
      <c r="A129" s="46"/>
      <c r="B129" s="46"/>
      <c r="C129" s="46"/>
      <c r="D129" s="46"/>
      <c r="AP129" s="46"/>
      <c r="AQ129" s="46"/>
      <c r="AR129" s="46"/>
      <c r="AS129" s="46"/>
    </row>
    <row r="130" spans="1:45" x14ac:dyDescent="0.25">
      <c r="A130" s="46"/>
      <c r="B130" s="46"/>
      <c r="C130" s="46"/>
      <c r="D130" s="46"/>
      <c r="AP130" s="46"/>
      <c r="AQ130" s="46"/>
      <c r="AR130" s="46"/>
      <c r="AS130" s="46"/>
    </row>
    <row r="131" spans="1:45" x14ac:dyDescent="0.25">
      <c r="A131" s="46"/>
      <c r="B131" s="46"/>
      <c r="C131" s="46"/>
      <c r="D131" s="46"/>
      <c r="AP131" s="46"/>
      <c r="AQ131" s="46"/>
      <c r="AR131" s="46"/>
      <c r="AS131" s="46"/>
    </row>
    <row r="132" spans="1:45" x14ac:dyDescent="0.25">
      <c r="A132" s="46"/>
      <c r="B132" s="46"/>
      <c r="C132" s="46"/>
      <c r="D132" s="46"/>
      <c r="AP132" s="46"/>
      <c r="AQ132" s="46"/>
      <c r="AR132" s="46"/>
      <c r="AS132" s="46"/>
    </row>
    <row r="133" spans="1:45" x14ac:dyDescent="0.25">
      <c r="A133" s="46"/>
      <c r="B133" s="46"/>
      <c r="C133" s="46"/>
      <c r="D133" s="46"/>
      <c r="AP133" s="46"/>
      <c r="AQ133" s="46"/>
      <c r="AR133" s="46"/>
      <c r="AS133" s="46"/>
    </row>
    <row r="134" spans="1:45" x14ac:dyDescent="0.25">
      <c r="A134" s="46"/>
      <c r="B134" s="46"/>
      <c r="C134" s="46"/>
      <c r="D134" s="46"/>
      <c r="AP134" s="46"/>
      <c r="AQ134" s="46"/>
      <c r="AR134" s="46"/>
      <c r="AS134" s="46"/>
    </row>
    <row r="135" spans="1:45" x14ac:dyDescent="0.25">
      <c r="A135" s="46"/>
      <c r="B135" s="46"/>
      <c r="C135" s="46"/>
      <c r="D135" s="46"/>
      <c r="AP135" s="46"/>
      <c r="AQ135" s="46"/>
      <c r="AR135" s="46"/>
      <c r="AS135" s="46"/>
    </row>
    <row r="136" spans="1:45" x14ac:dyDescent="0.25">
      <c r="A136" s="46"/>
      <c r="B136" s="46"/>
      <c r="C136" s="46"/>
      <c r="D136" s="46"/>
      <c r="AP136" s="46"/>
      <c r="AQ136" s="46"/>
      <c r="AR136" s="46"/>
      <c r="AS136" s="46"/>
    </row>
    <row r="137" spans="1:45" x14ac:dyDescent="0.25">
      <c r="A137" s="46"/>
      <c r="B137" s="46"/>
      <c r="C137" s="46"/>
      <c r="D137" s="46"/>
      <c r="AP137" s="46"/>
      <c r="AQ137" s="46"/>
      <c r="AR137" s="46"/>
      <c r="AS137" s="46"/>
    </row>
    <row r="138" spans="1:45" x14ac:dyDescent="0.25">
      <c r="A138" s="46"/>
      <c r="B138" s="46"/>
      <c r="C138" s="46"/>
      <c r="D138" s="46"/>
      <c r="AP138" s="46"/>
      <c r="AQ138" s="46"/>
      <c r="AR138" s="46"/>
      <c r="AS138" s="46"/>
    </row>
    <row r="139" spans="1:45" x14ac:dyDescent="0.25">
      <c r="A139" s="46"/>
      <c r="B139" s="46"/>
      <c r="C139" s="46"/>
      <c r="D139" s="46"/>
      <c r="AP139" s="46"/>
      <c r="AQ139" s="46"/>
      <c r="AR139" s="46"/>
      <c r="AS139" s="46"/>
    </row>
    <row r="140" spans="1:45" x14ac:dyDescent="0.25">
      <c r="A140" s="46"/>
      <c r="B140" s="46"/>
      <c r="C140" s="46"/>
      <c r="D140" s="46"/>
      <c r="AP140" s="46"/>
      <c r="AQ140" s="46"/>
      <c r="AR140" s="46"/>
      <c r="AS140" s="46"/>
    </row>
    <row r="141" spans="1:45" x14ac:dyDescent="0.25">
      <c r="A141" s="46"/>
      <c r="B141" s="46"/>
      <c r="C141" s="46"/>
      <c r="D141" s="46"/>
      <c r="AP141" s="46"/>
      <c r="AQ141" s="46"/>
      <c r="AR141" s="46"/>
      <c r="AS141" s="46"/>
    </row>
    <row r="142" spans="1:45" x14ac:dyDescent="0.25">
      <c r="A142" s="46"/>
      <c r="B142" s="46"/>
      <c r="C142" s="46"/>
      <c r="D142" s="46"/>
      <c r="AP142" s="46"/>
      <c r="AQ142" s="46"/>
      <c r="AR142" s="46"/>
      <c r="AS142" s="46"/>
    </row>
    <row r="143" spans="1:45" x14ac:dyDescent="0.25">
      <c r="A143" s="46"/>
      <c r="B143" s="46"/>
      <c r="C143" s="46"/>
      <c r="D143" s="46"/>
      <c r="AP143" s="46"/>
      <c r="AQ143" s="46"/>
      <c r="AR143" s="46"/>
      <c r="AS143" s="46"/>
    </row>
    <row r="144" spans="1:45" x14ac:dyDescent="0.25">
      <c r="A144" s="46"/>
      <c r="B144" s="46"/>
      <c r="C144" s="46"/>
      <c r="D144" s="46"/>
      <c r="AP144" s="46"/>
      <c r="AQ144" s="46"/>
      <c r="AR144" s="46"/>
      <c r="AS144" s="46"/>
    </row>
    <row r="145" spans="1:45" x14ac:dyDescent="0.25">
      <c r="A145" s="46"/>
      <c r="B145" s="46"/>
      <c r="C145" s="46"/>
      <c r="D145" s="46"/>
      <c r="AP145" s="46"/>
      <c r="AQ145" s="46"/>
      <c r="AR145" s="46"/>
      <c r="AS145" s="46"/>
    </row>
    <row r="146" spans="1:45" x14ac:dyDescent="0.25">
      <c r="A146" s="46"/>
      <c r="B146" s="46"/>
      <c r="C146" s="46"/>
      <c r="D146" s="46"/>
      <c r="AP146" s="46"/>
      <c r="AQ146" s="46"/>
      <c r="AR146" s="46"/>
      <c r="AS146" s="46"/>
    </row>
    <row r="147" spans="1:45" x14ac:dyDescent="0.25">
      <c r="A147" s="46"/>
      <c r="B147" s="46"/>
      <c r="C147" s="46"/>
      <c r="D147" s="46"/>
      <c r="AP147" s="46"/>
      <c r="AQ147" s="46"/>
      <c r="AR147" s="46"/>
      <c r="AS147" s="46"/>
    </row>
    <row r="148" spans="1:45" x14ac:dyDescent="0.25">
      <c r="A148" s="46"/>
      <c r="B148" s="46"/>
      <c r="C148" s="46"/>
      <c r="D148" s="46"/>
      <c r="AP148" s="46"/>
      <c r="AQ148" s="46"/>
      <c r="AR148" s="46"/>
      <c r="AS148" s="46"/>
    </row>
    <row r="149" spans="1:45" x14ac:dyDescent="0.25">
      <c r="A149" s="46"/>
      <c r="B149" s="46"/>
      <c r="C149" s="46"/>
      <c r="D149" s="46"/>
      <c r="AP149" s="46"/>
      <c r="AQ149" s="46"/>
      <c r="AR149" s="46"/>
      <c r="AS149" s="46"/>
    </row>
    <row r="150" spans="1:45" x14ac:dyDescent="0.25">
      <c r="A150" s="46"/>
      <c r="B150" s="46"/>
      <c r="C150" s="46"/>
      <c r="D150" s="46"/>
      <c r="AP150" s="46"/>
      <c r="AQ150" s="46"/>
      <c r="AR150" s="46"/>
      <c r="AS150" s="46"/>
    </row>
    <row r="151" spans="1:45" x14ac:dyDescent="0.25">
      <c r="A151" s="46"/>
      <c r="B151" s="46"/>
      <c r="C151" s="46"/>
      <c r="D151" s="46"/>
      <c r="AP151" s="46"/>
      <c r="AQ151" s="46"/>
      <c r="AR151" s="46"/>
      <c r="AS151" s="46"/>
    </row>
    <row r="152" spans="1:45" x14ac:dyDescent="0.25">
      <c r="A152" s="46"/>
      <c r="B152" s="46"/>
      <c r="C152" s="46"/>
      <c r="D152" s="46"/>
      <c r="AP152" s="46"/>
      <c r="AQ152" s="46"/>
      <c r="AR152" s="46"/>
      <c r="AS152" s="46"/>
    </row>
    <row r="153" spans="1:45" x14ac:dyDescent="0.25">
      <c r="A153" s="46"/>
      <c r="B153" s="46"/>
      <c r="C153" s="46"/>
      <c r="D153" s="46"/>
      <c r="AP153" s="46"/>
      <c r="AQ153" s="46"/>
      <c r="AR153" s="46"/>
      <c r="AS153" s="46"/>
    </row>
    <row r="154" spans="1:45" x14ac:dyDescent="0.25">
      <c r="A154" s="46"/>
      <c r="B154" s="46"/>
      <c r="C154" s="46"/>
      <c r="D154" s="46"/>
      <c r="AP154" s="46"/>
      <c r="AQ154" s="46"/>
      <c r="AR154" s="46"/>
      <c r="AS154" s="46"/>
    </row>
    <row r="155" spans="1:45" x14ac:dyDescent="0.25">
      <c r="A155" s="46"/>
      <c r="B155" s="46"/>
      <c r="C155" s="46"/>
      <c r="D155" s="46"/>
      <c r="AP155" s="46"/>
      <c r="AQ155" s="46"/>
      <c r="AR155" s="46"/>
      <c r="AS155" s="46"/>
    </row>
    <row r="156" spans="1:45" x14ac:dyDescent="0.25">
      <c r="A156" s="46"/>
      <c r="B156" s="46"/>
      <c r="C156" s="46"/>
      <c r="D156" s="46"/>
      <c r="AP156" s="46"/>
      <c r="AQ156" s="46"/>
      <c r="AR156" s="46"/>
      <c r="AS156" s="46"/>
    </row>
    <row r="157" spans="1:45" x14ac:dyDescent="0.25">
      <c r="A157" s="46"/>
      <c r="B157" s="46"/>
      <c r="C157" s="46"/>
      <c r="D157" s="46"/>
      <c r="AP157" s="46"/>
      <c r="AQ157" s="46"/>
      <c r="AR157" s="46"/>
      <c r="AS157" s="46"/>
    </row>
    <row r="158" spans="1:45" x14ac:dyDescent="0.25">
      <c r="A158" s="46"/>
      <c r="B158" s="46"/>
      <c r="C158" s="46"/>
      <c r="D158" s="46"/>
      <c r="AP158" s="46"/>
      <c r="AQ158" s="46"/>
      <c r="AR158" s="46"/>
      <c r="AS158" s="46"/>
    </row>
    <row r="159" spans="1:45" x14ac:dyDescent="0.25">
      <c r="A159" s="46"/>
      <c r="B159" s="46"/>
      <c r="C159" s="46"/>
      <c r="D159" s="46"/>
      <c r="AP159" s="46"/>
      <c r="AQ159" s="46"/>
      <c r="AR159" s="46"/>
      <c r="AS159" s="46"/>
    </row>
    <row r="160" spans="1:45" x14ac:dyDescent="0.25">
      <c r="A160" s="46"/>
      <c r="B160" s="46"/>
      <c r="C160" s="46"/>
      <c r="D160" s="46"/>
      <c r="AP160" s="46"/>
      <c r="AQ160" s="46"/>
      <c r="AR160" s="46"/>
      <c r="AS160" s="46"/>
    </row>
    <row r="161" spans="1:45" x14ac:dyDescent="0.25">
      <c r="A161" s="46"/>
      <c r="B161" s="46"/>
      <c r="C161" s="46"/>
      <c r="D161" s="46"/>
      <c r="AP161" s="46"/>
      <c r="AQ161" s="46"/>
      <c r="AR161" s="46"/>
      <c r="AS161" s="46"/>
    </row>
    <row r="162" spans="1:45" x14ac:dyDescent="0.25">
      <c r="A162" s="46"/>
      <c r="B162" s="46"/>
      <c r="C162" s="46"/>
      <c r="D162" s="46"/>
      <c r="AP162" s="46"/>
      <c r="AQ162" s="46"/>
      <c r="AR162" s="46"/>
      <c r="AS162" s="46"/>
    </row>
    <row r="163" spans="1:45" x14ac:dyDescent="0.25">
      <c r="A163" s="46"/>
      <c r="B163" s="46"/>
      <c r="C163" s="46"/>
      <c r="D163" s="46"/>
      <c r="AP163" s="46"/>
      <c r="AQ163" s="46"/>
      <c r="AR163" s="46"/>
      <c r="AS163" s="46"/>
    </row>
    <row r="164" spans="1:45" x14ac:dyDescent="0.25">
      <c r="A164" s="46"/>
      <c r="B164" s="46"/>
      <c r="C164" s="46"/>
      <c r="D164" s="46"/>
      <c r="AP164" s="46"/>
      <c r="AQ164" s="46"/>
      <c r="AR164" s="46"/>
      <c r="AS164" s="46"/>
    </row>
    <row r="165" spans="1:45" x14ac:dyDescent="0.25">
      <c r="A165" s="46"/>
      <c r="B165" s="46"/>
      <c r="C165" s="46"/>
      <c r="D165" s="46"/>
      <c r="AP165" s="46"/>
      <c r="AQ165" s="46"/>
      <c r="AR165" s="46"/>
      <c r="AS165" s="46"/>
    </row>
    <row r="166" spans="1:45" x14ac:dyDescent="0.25">
      <c r="A166" s="46"/>
      <c r="B166" s="46"/>
      <c r="C166" s="46"/>
      <c r="D166" s="46"/>
      <c r="AP166" s="46"/>
      <c r="AQ166" s="46"/>
      <c r="AR166" s="46"/>
      <c r="AS166" s="46"/>
    </row>
    <row r="167" spans="1:45" x14ac:dyDescent="0.25">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c r="AH167" s="46"/>
      <c r="AI167" s="46"/>
      <c r="AJ167" s="46"/>
      <c r="AK167" s="46"/>
      <c r="AL167" s="46"/>
      <c r="AM167" s="46"/>
      <c r="AN167" s="46"/>
      <c r="AO167" s="46"/>
      <c r="AP167" s="46"/>
      <c r="AQ167" s="46"/>
      <c r="AR167" s="46"/>
      <c r="AS167" s="46"/>
    </row>
    <row r="168" spans="1:45" x14ac:dyDescent="0.25">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c r="AA168" s="46"/>
      <c r="AB168" s="46"/>
      <c r="AC168" s="46"/>
      <c r="AD168" s="46"/>
      <c r="AE168" s="46"/>
      <c r="AF168" s="46"/>
      <c r="AG168" s="46"/>
      <c r="AH168" s="46"/>
      <c r="AI168" s="46"/>
      <c r="AJ168" s="46"/>
      <c r="AK168" s="46"/>
      <c r="AL168" s="46"/>
      <c r="AM168" s="46"/>
      <c r="AN168" s="46"/>
      <c r="AO168" s="46"/>
      <c r="AP168" s="46"/>
      <c r="AQ168" s="46"/>
      <c r="AR168" s="46"/>
      <c r="AS168" s="46"/>
    </row>
    <row r="169" spans="1:45" x14ac:dyDescent="0.25">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c r="AA169" s="46"/>
      <c r="AB169" s="46"/>
      <c r="AC169" s="46"/>
      <c r="AD169" s="46"/>
      <c r="AE169" s="46"/>
      <c r="AF169" s="46"/>
      <c r="AG169" s="46"/>
      <c r="AH169" s="46"/>
      <c r="AI169" s="46"/>
      <c r="AJ169" s="46"/>
      <c r="AK169" s="46"/>
      <c r="AL169" s="46"/>
      <c r="AM169" s="46"/>
      <c r="AN169" s="46"/>
      <c r="AO169" s="46"/>
      <c r="AP169" s="46"/>
      <c r="AQ169" s="46"/>
      <c r="AR169" s="46"/>
      <c r="AS169" s="46"/>
    </row>
    <row r="170" spans="1:45" x14ac:dyDescent="0.25">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c r="AA170" s="46"/>
      <c r="AB170" s="46"/>
      <c r="AC170" s="46"/>
      <c r="AD170" s="46"/>
      <c r="AE170" s="46"/>
      <c r="AF170" s="46"/>
      <c r="AG170" s="46"/>
      <c r="AH170" s="46"/>
      <c r="AI170" s="46"/>
      <c r="AJ170" s="46"/>
      <c r="AK170" s="46"/>
      <c r="AL170" s="46"/>
      <c r="AM170" s="46"/>
      <c r="AN170" s="46"/>
      <c r="AO170" s="46"/>
      <c r="AP170" s="46"/>
      <c r="AQ170" s="46"/>
      <c r="AR170" s="46"/>
      <c r="AS170" s="46"/>
    </row>
    <row r="171" spans="1:45" x14ac:dyDescent="0.25">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c r="AA171" s="46"/>
      <c r="AB171" s="46"/>
      <c r="AC171" s="46"/>
      <c r="AD171" s="46"/>
      <c r="AE171" s="46"/>
      <c r="AF171" s="46"/>
      <c r="AG171" s="46"/>
      <c r="AH171" s="46"/>
      <c r="AI171" s="46"/>
      <c r="AJ171" s="46"/>
      <c r="AK171" s="46"/>
      <c r="AL171" s="46"/>
      <c r="AM171" s="46"/>
      <c r="AN171" s="46"/>
      <c r="AO171" s="46"/>
      <c r="AP171" s="46"/>
      <c r="AQ171" s="46"/>
      <c r="AR171" s="46"/>
      <c r="AS171" s="46"/>
    </row>
    <row r="172" spans="1:45" x14ac:dyDescent="0.25">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c r="AA172" s="46"/>
      <c r="AB172" s="46"/>
      <c r="AC172" s="46"/>
      <c r="AD172" s="46"/>
      <c r="AE172" s="46"/>
      <c r="AF172" s="46"/>
      <c r="AG172" s="46"/>
      <c r="AH172" s="46"/>
      <c r="AI172" s="46"/>
      <c r="AJ172" s="46"/>
      <c r="AK172" s="46"/>
      <c r="AL172" s="46"/>
      <c r="AM172" s="46"/>
      <c r="AN172" s="46"/>
      <c r="AO172" s="46"/>
      <c r="AP172" s="46"/>
      <c r="AQ172" s="46"/>
      <c r="AR172" s="46"/>
      <c r="AS172" s="46"/>
    </row>
    <row r="173" spans="1:45" x14ac:dyDescent="0.25">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c r="AG173" s="46"/>
      <c r="AH173" s="46"/>
      <c r="AI173" s="46"/>
      <c r="AJ173" s="46"/>
      <c r="AK173" s="46"/>
      <c r="AL173" s="46"/>
      <c r="AM173" s="46"/>
      <c r="AN173" s="46"/>
      <c r="AO173" s="46"/>
      <c r="AP173" s="46"/>
      <c r="AQ173" s="46"/>
      <c r="AR173" s="46"/>
      <c r="AS173" s="46"/>
    </row>
    <row r="174" spans="1:45" x14ac:dyDescent="0.25">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c r="AG174" s="46"/>
      <c r="AH174" s="46"/>
      <c r="AI174" s="46"/>
      <c r="AJ174" s="46"/>
      <c r="AK174" s="46"/>
      <c r="AL174" s="46"/>
      <c r="AM174" s="46"/>
      <c r="AN174" s="46"/>
      <c r="AO174" s="46"/>
      <c r="AP174" s="46"/>
      <c r="AQ174" s="46"/>
      <c r="AR174" s="46"/>
      <c r="AS174" s="46"/>
    </row>
    <row r="175" spans="1:45" x14ac:dyDescent="0.25">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c r="AG175" s="46"/>
      <c r="AH175" s="46"/>
      <c r="AI175" s="46"/>
      <c r="AJ175" s="46"/>
      <c r="AK175" s="46"/>
      <c r="AL175" s="46"/>
      <c r="AM175" s="46"/>
      <c r="AN175" s="46"/>
      <c r="AO175" s="46"/>
      <c r="AP175" s="46"/>
      <c r="AQ175" s="46"/>
      <c r="AR175" s="46"/>
      <c r="AS175" s="46"/>
    </row>
    <row r="176" spans="1:45" x14ac:dyDescent="0.25">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c r="AG176" s="46"/>
      <c r="AH176" s="46"/>
      <c r="AI176" s="46"/>
      <c r="AJ176" s="46"/>
      <c r="AK176" s="46"/>
      <c r="AL176" s="46"/>
      <c r="AM176" s="46"/>
      <c r="AN176" s="46"/>
      <c r="AO176" s="46"/>
      <c r="AP176" s="46"/>
      <c r="AQ176" s="46"/>
      <c r="AR176" s="46"/>
      <c r="AS176" s="46"/>
    </row>
  </sheetData>
  <mergeCells count="9">
    <mergeCell ref="J18:O19"/>
    <mergeCell ref="Q18:V19"/>
    <mergeCell ref="X18:AC19"/>
    <mergeCell ref="AE18:AJ19"/>
    <mergeCell ref="F2:AO10"/>
    <mergeCell ref="J13:O17"/>
    <mergeCell ref="Q13:V17"/>
    <mergeCell ref="X13:AC17"/>
    <mergeCell ref="AE13:AJ1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view="pageBreakPreview" zoomScale="38" zoomScaleNormal="100" zoomScaleSheetLayoutView="38" workbookViewId="0">
      <selection activeCell="C114" sqref="C114"/>
    </sheetView>
  </sheetViews>
  <sheetFormatPr defaultColWidth="14.3984375" defaultRowHeight="15" customHeight="1" x14ac:dyDescent="0.25"/>
  <cols>
    <col min="1" max="1" width="19.69921875" customWidth="1"/>
    <col min="2" max="2" width="25" customWidth="1"/>
    <col min="3" max="3" width="16.09765625" customWidth="1"/>
    <col min="4" max="4" width="22.296875" customWidth="1"/>
    <col min="5" max="5" width="14.8984375" style="3" customWidth="1"/>
    <col min="6" max="6" width="16" style="11" customWidth="1"/>
    <col min="7" max="7" width="15.59765625" style="9" customWidth="1"/>
    <col min="8" max="8" width="18.5" style="2" customWidth="1"/>
    <col min="9" max="9" width="15.5" style="3" customWidth="1"/>
    <col min="10" max="26" width="8.59765625" customWidth="1"/>
  </cols>
  <sheetData>
    <row r="1" spans="1:26" ht="14.4" x14ac:dyDescent="0.3">
      <c r="A1" s="22" t="s">
        <v>0</v>
      </c>
      <c r="B1" s="23" t="s">
        <v>1</v>
      </c>
      <c r="C1" s="23" t="s">
        <v>2</v>
      </c>
      <c r="D1" s="23" t="s">
        <v>3</v>
      </c>
      <c r="E1" s="24" t="s">
        <v>4</v>
      </c>
      <c r="F1" s="25" t="s">
        <v>5</v>
      </c>
      <c r="G1" s="26" t="s">
        <v>6</v>
      </c>
      <c r="H1" s="27" t="s">
        <v>7</v>
      </c>
      <c r="I1" s="28" t="s">
        <v>8</v>
      </c>
      <c r="J1" s="1"/>
      <c r="K1" s="1"/>
      <c r="L1" s="1"/>
      <c r="M1" s="1"/>
      <c r="N1" s="1"/>
      <c r="O1" s="1"/>
      <c r="P1" s="1"/>
      <c r="Q1" s="1"/>
      <c r="R1" s="1"/>
      <c r="S1" s="1"/>
      <c r="T1" s="1"/>
      <c r="U1" s="1"/>
      <c r="V1" s="1"/>
      <c r="W1" s="1"/>
      <c r="X1" s="1"/>
      <c r="Y1" s="1"/>
      <c r="Z1" s="1"/>
    </row>
    <row r="2" spans="1:26" ht="13.8" x14ac:dyDescent="0.25">
      <c r="A2" s="20" t="s">
        <v>9</v>
      </c>
      <c r="B2" s="6" t="s">
        <v>10</v>
      </c>
      <c r="C2" s="6" t="s">
        <v>11</v>
      </c>
      <c r="D2" s="6" t="s">
        <v>12</v>
      </c>
      <c r="E2" s="7">
        <v>1036.0899999999999</v>
      </c>
      <c r="F2" s="10">
        <v>4</v>
      </c>
      <c r="G2" s="8">
        <v>0.2</v>
      </c>
      <c r="H2" s="12">
        <v>45392</v>
      </c>
      <c r="I2" s="21">
        <v>331.55</v>
      </c>
    </row>
    <row r="3" spans="1:26" ht="13.8" x14ac:dyDescent="0.25">
      <c r="A3" s="20" t="s">
        <v>13</v>
      </c>
      <c r="B3" s="6" t="s">
        <v>14</v>
      </c>
      <c r="C3" s="6" t="s">
        <v>11</v>
      </c>
      <c r="D3" s="6" t="s">
        <v>15</v>
      </c>
      <c r="E3" s="7">
        <v>1101.28</v>
      </c>
      <c r="F3" s="10">
        <v>3</v>
      </c>
      <c r="G3" s="8">
        <v>0.2</v>
      </c>
      <c r="H3" s="12">
        <v>45393</v>
      </c>
      <c r="I3" s="21">
        <v>440.51</v>
      </c>
    </row>
    <row r="4" spans="1:26" ht="13.8" x14ac:dyDescent="0.25">
      <c r="A4" s="20" t="s">
        <v>16</v>
      </c>
      <c r="B4" s="6" t="s">
        <v>17</v>
      </c>
      <c r="C4" s="6" t="s">
        <v>18</v>
      </c>
      <c r="D4" s="6" t="s">
        <v>12</v>
      </c>
      <c r="E4" s="7">
        <v>713.34</v>
      </c>
      <c r="F4" s="10">
        <v>17</v>
      </c>
      <c r="G4" s="8">
        <v>0</v>
      </c>
      <c r="H4" s="12">
        <v>45396</v>
      </c>
      <c r="I4" s="21">
        <v>285.33999999999997</v>
      </c>
    </row>
    <row r="5" spans="1:26" ht="13.8" x14ac:dyDescent="0.25">
      <c r="A5" s="20" t="s">
        <v>19</v>
      </c>
      <c r="B5" s="6" t="s">
        <v>14</v>
      </c>
      <c r="C5" s="6" t="s">
        <v>20</v>
      </c>
      <c r="D5" s="6" t="s">
        <v>21</v>
      </c>
      <c r="E5" s="7">
        <v>760.93</v>
      </c>
      <c r="F5" s="10">
        <v>4</v>
      </c>
      <c r="G5" s="8">
        <v>0.15</v>
      </c>
      <c r="H5" s="12">
        <v>45396</v>
      </c>
      <c r="I5" s="21">
        <v>161.69999999999999</v>
      </c>
    </row>
    <row r="6" spans="1:26" ht="13.8" x14ac:dyDescent="0.25">
      <c r="A6" s="20" t="s">
        <v>22</v>
      </c>
      <c r="B6" s="6" t="s">
        <v>23</v>
      </c>
      <c r="C6" s="6" t="s">
        <v>24</v>
      </c>
      <c r="D6" s="6" t="s">
        <v>12</v>
      </c>
      <c r="E6" s="7">
        <v>847</v>
      </c>
      <c r="F6" s="10">
        <v>12</v>
      </c>
      <c r="G6" s="8">
        <v>0.2</v>
      </c>
      <c r="H6" s="12">
        <v>45397</v>
      </c>
      <c r="I6" s="21">
        <v>271.04000000000002</v>
      </c>
    </row>
    <row r="7" spans="1:26" ht="13.8" x14ac:dyDescent="0.25">
      <c r="A7" s="20" t="s">
        <v>25</v>
      </c>
      <c r="B7" s="6" t="s">
        <v>26</v>
      </c>
      <c r="C7" s="6" t="s">
        <v>24</v>
      </c>
      <c r="D7" s="6" t="s">
        <v>27</v>
      </c>
      <c r="E7" s="7">
        <v>965.64</v>
      </c>
      <c r="F7" s="10">
        <v>8</v>
      </c>
      <c r="G7" s="8">
        <v>0.1</v>
      </c>
      <c r="H7" s="12">
        <v>45398</v>
      </c>
      <c r="I7" s="21">
        <v>304.18</v>
      </c>
    </row>
    <row r="8" spans="1:26" ht="13.8" x14ac:dyDescent="0.25">
      <c r="A8" s="20" t="s">
        <v>28</v>
      </c>
      <c r="B8" s="6" t="s">
        <v>29</v>
      </c>
      <c r="C8" s="6" t="s">
        <v>11</v>
      </c>
      <c r="D8" s="6" t="s">
        <v>21</v>
      </c>
      <c r="E8" s="7">
        <v>1317.53</v>
      </c>
      <c r="F8" s="10">
        <v>12</v>
      </c>
      <c r="G8" s="8">
        <v>0.05</v>
      </c>
      <c r="H8" s="12">
        <v>45398</v>
      </c>
      <c r="I8" s="21">
        <v>312.91000000000003</v>
      </c>
    </row>
    <row r="9" spans="1:26" ht="13.8" x14ac:dyDescent="0.25">
      <c r="A9" s="20" t="s">
        <v>30</v>
      </c>
      <c r="B9" s="6" t="s">
        <v>31</v>
      </c>
      <c r="C9" s="6" t="s">
        <v>18</v>
      </c>
      <c r="D9" s="6" t="s">
        <v>27</v>
      </c>
      <c r="E9" s="7">
        <v>1074.47</v>
      </c>
      <c r="F9" s="10">
        <v>6</v>
      </c>
      <c r="G9" s="8">
        <v>0.2</v>
      </c>
      <c r="H9" s="12">
        <v>45401</v>
      </c>
      <c r="I9" s="21">
        <v>300.85000000000002</v>
      </c>
    </row>
    <row r="10" spans="1:26" ht="13.8" x14ac:dyDescent="0.25">
      <c r="A10" s="20" t="s">
        <v>32</v>
      </c>
      <c r="B10" s="6" t="s">
        <v>33</v>
      </c>
      <c r="C10" s="6" t="s">
        <v>34</v>
      </c>
      <c r="D10" s="6" t="s">
        <v>12</v>
      </c>
      <c r="E10" s="7">
        <v>501.54</v>
      </c>
      <c r="F10" s="10">
        <v>11</v>
      </c>
      <c r="G10" s="8">
        <v>0.05</v>
      </c>
      <c r="H10" s="12">
        <v>45401</v>
      </c>
      <c r="I10" s="21">
        <v>190.59</v>
      </c>
    </row>
    <row r="11" spans="1:26" ht="13.8" x14ac:dyDescent="0.25">
      <c r="A11" s="20" t="s">
        <v>35</v>
      </c>
      <c r="B11" s="6" t="s">
        <v>36</v>
      </c>
      <c r="C11" s="6" t="s">
        <v>34</v>
      </c>
      <c r="D11" s="6" t="s">
        <v>15</v>
      </c>
      <c r="E11" s="7">
        <v>737.31</v>
      </c>
      <c r="F11" s="10">
        <v>2</v>
      </c>
      <c r="G11" s="8">
        <v>0.05</v>
      </c>
      <c r="H11" s="12">
        <v>45401</v>
      </c>
      <c r="I11" s="21">
        <v>350.22</v>
      </c>
    </row>
    <row r="12" spans="1:26" ht="13.8" x14ac:dyDescent="0.25">
      <c r="A12" s="20" t="s">
        <v>37</v>
      </c>
      <c r="B12" s="6" t="s">
        <v>38</v>
      </c>
      <c r="C12" s="6" t="s">
        <v>11</v>
      </c>
      <c r="D12" s="6" t="s">
        <v>39</v>
      </c>
      <c r="E12" s="7">
        <v>1572.82</v>
      </c>
      <c r="F12" s="10">
        <v>6</v>
      </c>
      <c r="G12" s="8">
        <v>0.05</v>
      </c>
      <c r="H12" s="12">
        <v>45402</v>
      </c>
      <c r="I12" s="21">
        <v>672.38</v>
      </c>
    </row>
    <row r="13" spans="1:26" ht="13.8" x14ac:dyDescent="0.25">
      <c r="A13" s="20" t="s">
        <v>37</v>
      </c>
      <c r="B13" s="6" t="s">
        <v>36</v>
      </c>
      <c r="C13" s="6" t="s">
        <v>34</v>
      </c>
      <c r="D13" s="6" t="s">
        <v>12</v>
      </c>
      <c r="E13" s="7">
        <v>1343.13</v>
      </c>
      <c r="F13" s="10">
        <v>14</v>
      </c>
      <c r="G13" s="8">
        <v>0.15</v>
      </c>
      <c r="H13" s="12">
        <v>45404</v>
      </c>
      <c r="I13" s="21">
        <v>456.66</v>
      </c>
    </row>
    <row r="14" spans="1:26" ht="13.8" x14ac:dyDescent="0.25">
      <c r="A14" s="20" t="s">
        <v>25</v>
      </c>
      <c r="B14" s="6" t="s">
        <v>26</v>
      </c>
      <c r="C14" s="6" t="s">
        <v>34</v>
      </c>
      <c r="D14" s="6" t="s">
        <v>12</v>
      </c>
      <c r="E14" s="7">
        <v>1191.58</v>
      </c>
      <c r="F14" s="10">
        <v>14</v>
      </c>
      <c r="G14" s="8">
        <v>0.05</v>
      </c>
      <c r="H14" s="12">
        <v>45406</v>
      </c>
      <c r="I14" s="21">
        <v>452.8</v>
      </c>
    </row>
    <row r="15" spans="1:26" ht="13.8" x14ac:dyDescent="0.25">
      <c r="A15" s="20" t="s">
        <v>40</v>
      </c>
      <c r="B15" s="6" t="s">
        <v>14</v>
      </c>
      <c r="C15" s="6" t="s">
        <v>11</v>
      </c>
      <c r="D15" s="6" t="s">
        <v>27</v>
      </c>
      <c r="E15" s="7">
        <v>822.28</v>
      </c>
      <c r="F15" s="10">
        <v>7</v>
      </c>
      <c r="G15" s="8">
        <v>0.05</v>
      </c>
      <c r="H15" s="12">
        <v>45406</v>
      </c>
      <c r="I15" s="21">
        <v>273.41000000000003</v>
      </c>
    </row>
    <row r="16" spans="1:26" ht="13.8" x14ac:dyDescent="0.25">
      <c r="A16" s="20" t="s">
        <v>41</v>
      </c>
      <c r="B16" s="6" t="s">
        <v>42</v>
      </c>
      <c r="C16" s="6" t="s">
        <v>24</v>
      </c>
      <c r="D16" s="6" t="s">
        <v>27</v>
      </c>
      <c r="E16" s="7">
        <v>521.66999999999996</v>
      </c>
      <c r="F16" s="10">
        <v>15</v>
      </c>
      <c r="G16" s="8">
        <v>0.15</v>
      </c>
      <c r="H16" s="12">
        <v>45409</v>
      </c>
      <c r="I16" s="21">
        <v>155.19999999999999</v>
      </c>
    </row>
    <row r="17" spans="1:9" ht="13.8" x14ac:dyDescent="0.25">
      <c r="A17" s="20" t="s">
        <v>19</v>
      </c>
      <c r="B17" s="6" t="s">
        <v>43</v>
      </c>
      <c r="C17" s="6" t="s">
        <v>20</v>
      </c>
      <c r="D17" s="6" t="s">
        <v>21</v>
      </c>
      <c r="E17" s="7">
        <v>1502.93</v>
      </c>
      <c r="F17" s="10">
        <v>14</v>
      </c>
      <c r="G17" s="8">
        <v>0.2</v>
      </c>
      <c r="H17" s="12">
        <v>45410</v>
      </c>
      <c r="I17" s="21">
        <v>300.58999999999997</v>
      </c>
    </row>
    <row r="18" spans="1:9" ht="13.8" x14ac:dyDescent="0.25">
      <c r="A18" s="20" t="s">
        <v>44</v>
      </c>
      <c r="B18" s="6" t="s">
        <v>14</v>
      </c>
      <c r="C18" s="6" t="s">
        <v>20</v>
      </c>
      <c r="D18" s="6" t="s">
        <v>12</v>
      </c>
      <c r="E18" s="7">
        <v>877.58</v>
      </c>
      <c r="F18" s="10">
        <v>10</v>
      </c>
      <c r="G18" s="8">
        <v>0.15</v>
      </c>
      <c r="H18" s="12">
        <v>45411</v>
      </c>
      <c r="I18" s="21">
        <v>298.38</v>
      </c>
    </row>
    <row r="19" spans="1:9" ht="13.8" x14ac:dyDescent="0.25">
      <c r="A19" s="20" t="s">
        <v>28</v>
      </c>
      <c r="B19" s="6" t="s">
        <v>45</v>
      </c>
      <c r="C19" s="6" t="s">
        <v>11</v>
      </c>
      <c r="D19" s="6" t="s">
        <v>12</v>
      </c>
      <c r="E19" s="7">
        <v>636.70000000000005</v>
      </c>
      <c r="F19" s="10">
        <v>4</v>
      </c>
      <c r="G19" s="8">
        <v>0.2</v>
      </c>
      <c r="H19" s="12">
        <v>45411</v>
      </c>
      <c r="I19" s="21">
        <v>203.74</v>
      </c>
    </row>
    <row r="20" spans="1:9" ht="13.8" x14ac:dyDescent="0.25">
      <c r="A20" s="20" t="s">
        <v>46</v>
      </c>
      <c r="B20" s="6" t="s">
        <v>47</v>
      </c>
      <c r="C20" s="6" t="s">
        <v>11</v>
      </c>
      <c r="D20" s="6" t="s">
        <v>12</v>
      </c>
      <c r="E20" s="7">
        <v>1506.14</v>
      </c>
      <c r="F20" s="10">
        <v>13</v>
      </c>
      <c r="G20" s="8">
        <v>0.2</v>
      </c>
      <c r="H20" s="12">
        <v>45412</v>
      </c>
      <c r="I20" s="21">
        <v>481.96</v>
      </c>
    </row>
    <row r="21" spans="1:9" ht="15.75" customHeight="1" x14ac:dyDescent="0.25">
      <c r="A21" s="20" t="s">
        <v>30</v>
      </c>
      <c r="B21" s="6" t="s">
        <v>31</v>
      </c>
      <c r="C21" s="6" t="s">
        <v>34</v>
      </c>
      <c r="D21" s="6" t="s">
        <v>21</v>
      </c>
      <c r="E21" s="7">
        <v>645.02</v>
      </c>
      <c r="F21" s="10">
        <v>4</v>
      </c>
      <c r="G21" s="8">
        <v>0</v>
      </c>
      <c r="H21" s="12">
        <v>45414</v>
      </c>
      <c r="I21" s="21">
        <v>161.26</v>
      </c>
    </row>
    <row r="22" spans="1:9" ht="15.75" customHeight="1" x14ac:dyDescent="0.25">
      <c r="A22" s="20" t="s">
        <v>25</v>
      </c>
      <c r="B22" s="6" t="s">
        <v>48</v>
      </c>
      <c r="C22" s="6" t="s">
        <v>20</v>
      </c>
      <c r="D22" s="6" t="s">
        <v>15</v>
      </c>
      <c r="E22" s="7">
        <v>953.3</v>
      </c>
      <c r="F22" s="10">
        <v>11</v>
      </c>
      <c r="G22" s="8">
        <v>0</v>
      </c>
      <c r="H22" s="12">
        <v>45415</v>
      </c>
      <c r="I22" s="21">
        <v>476.65</v>
      </c>
    </row>
    <row r="23" spans="1:9" ht="15.75" customHeight="1" x14ac:dyDescent="0.25">
      <c r="A23" s="20" t="s">
        <v>49</v>
      </c>
      <c r="B23" s="6" t="s">
        <v>14</v>
      </c>
      <c r="C23" s="6" t="s">
        <v>24</v>
      </c>
      <c r="D23" s="6" t="s">
        <v>21</v>
      </c>
      <c r="E23" s="7">
        <v>388.56</v>
      </c>
      <c r="F23" s="10">
        <v>14</v>
      </c>
      <c r="G23" s="8">
        <v>0.15</v>
      </c>
      <c r="H23" s="12">
        <v>45416</v>
      </c>
      <c r="I23" s="21">
        <v>82.57</v>
      </c>
    </row>
    <row r="24" spans="1:9" ht="15.75" customHeight="1" x14ac:dyDescent="0.25">
      <c r="A24" s="20" t="s">
        <v>9</v>
      </c>
      <c r="B24" s="6" t="s">
        <v>31</v>
      </c>
      <c r="C24" s="6" t="s">
        <v>11</v>
      </c>
      <c r="D24" s="6" t="s">
        <v>12</v>
      </c>
      <c r="E24" s="7">
        <v>743.17</v>
      </c>
      <c r="F24" s="10">
        <v>9</v>
      </c>
      <c r="G24" s="8">
        <v>0</v>
      </c>
      <c r="H24" s="12">
        <v>45416</v>
      </c>
      <c r="I24" s="21">
        <v>297.27</v>
      </c>
    </row>
    <row r="25" spans="1:9" ht="15.75" customHeight="1" x14ac:dyDescent="0.25">
      <c r="A25" s="20" t="s">
        <v>40</v>
      </c>
      <c r="B25" s="6" t="s">
        <v>31</v>
      </c>
      <c r="C25" s="6" t="s">
        <v>34</v>
      </c>
      <c r="D25" s="6" t="s">
        <v>21</v>
      </c>
      <c r="E25" s="7">
        <v>706.37</v>
      </c>
      <c r="F25" s="10">
        <v>6</v>
      </c>
      <c r="G25" s="8">
        <v>0</v>
      </c>
      <c r="H25" s="12">
        <v>45416</v>
      </c>
      <c r="I25" s="21">
        <v>176.59</v>
      </c>
    </row>
    <row r="26" spans="1:9" ht="15.75" customHeight="1" x14ac:dyDescent="0.25">
      <c r="A26" s="20" t="s">
        <v>13</v>
      </c>
      <c r="B26" s="6" t="s">
        <v>31</v>
      </c>
      <c r="C26" s="6" t="s">
        <v>34</v>
      </c>
      <c r="D26" s="6" t="s">
        <v>39</v>
      </c>
      <c r="E26" s="7">
        <v>925.31</v>
      </c>
      <c r="F26" s="10">
        <v>8</v>
      </c>
      <c r="G26" s="8">
        <v>0.1</v>
      </c>
      <c r="H26" s="12">
        <v>45418</v>
      </c>
      <c r="I26" s="21">
        <v>374.75</v>
      </c>
    </row>
    <row r="27" spans="1:9" ht="15.75" customHeight="1" x14ac:dyDescent="0.25">
      <c r="A27" s="20" t="s">
        <v>35</v>
      </c>
      <c r="B27" s="6" t="s">
        <v>50</v>
      </c>
      <c r="C27" s="6" t="s">
        <v>20</v>
      </c>
      <c r="D27" s="6" t="s">
        <v>21</v>
      </c>
      <c r="E27" s="7">
        <v>1173.1199999999999</v>
      </c>
      <c r="F27" s="10">
        <v>18</v>
      </c>
      <c r="G27" s="8">
        <v>0</v>
      </c>
      <c r="H27" s="12">
        <v>45418</v>
      </c>
      <c r="I27" s="21">
        <v>293.27999999999997</v>
      </c>
    </row>
    <row r="28" spans="1:9" ht="15.75" customHeight="1" x14ac:dyDescent="0.25">
      <c r="A28" s="20" t="s">
        <v>22</v>
      </c>
      <c r="B28" s="6" t="s">
        <v>51</v>
      </c>
      <c r="C28" s="6" t="s">
        <v>24</v>
      </c>
      <c r="D28" s="6" t="s">
        <v>27</v>
      </c>
      <c r="E28" s="7">
        <v>675.54</v>
      </c>
      <c r="F28" s="10">
        <v>17</v>
      </c>
      <c r="G28" s="8">
        <v>0</v>
      </c>
      <c r="H28" s="12">
        <v>45420</v>
      </c>
      <c r="I28" s="21">
        <v>236.44</v>
      </c>
    </row>
    <row r="29" spans="1:9" ht="15.75" customHeight="1" x14ac:dyDescent="0.25">
      <c r="A29" s="20" t="s">
        <v>25</v>
      </c>
      <c r="B29" s="6" t="s">
        <v>14</v>
      </c>
      <c r="C29" s="6" t="s">
        <v>34</v>
      </c>
      <c r="D29" s="6" t="s">
        <v>12</v>
      </c>
      <c r="E29" s="7">
        <v>939.09</v>
      </c>
      <c r="F29" s="10">
        <v>2</v>
      </c>
      <c r="G29" s="8">
        <v>0.05</v>
      </c>
      <c r="H29" s="12">
        <v>45422</v>
      </c>
      <c r="I29" s="21">
        <v>356.85</v>
      </c>
    </row>
    <row r="30" spans="1:9" ht="15.75" customHeight="1" x14ac:dyDescent="0.25">
      <c r="A30" s="20" t="s">
        <v>52</v>
      </c>
      <c r="B30" s="6" t="s">
        <v>53</v>
      </c>
      <c r="C30" s="6" t="s">
        <v>18</v>
      </c>
      <c r="D30" s="6" t="s">
        <v>39</v>
      </c>
      <c r="E30" s="7">
        <v>983.34</v>
      </c>
      <c r="F30" s="10">
        <v>19</v>
      </c>
      <c r="G30" s="8">
        <v>0.1</v>
      </c>
      <c r="H30" s="12">
        <v>45426</v>
      </c>
      <c r="I30" s="21">
        <v>398.25</v>
      </c>
    </row>
    <row r="31" spans="1:9" ht="15.75" customHeight="1" x14ac:dyDescent="0.25">
      <c r="A31" s="20" t="s">
        <v>52</v>
      </c>
      <c r="B31" s="6" t="s">
        <v>23</v>
      </c>
      <c r="C31" s="6" t="s">
        <v>20</v>
      </c>
      <c r="D31" s="6" t="s">
        <v>21</v>
      </c>
      <c r="E31" s="7">
        <v>801.21</v>
      </c>
      <c r="F31" s="10">
        <v>3</v>
      </c>
      <c r="G31" s="8">
        <v>0.2</v>
      </c>
      <c r="H31" s="12">
        <v>45426</v>
      </c>
      <c r="I31" s="21">
        <v>160.24</v>
      </c>
    </row>
    <row r="32" spans="1:9" ht="15.75" customHeight="1" x14ac:dyDescent="0.25">
      <c r="A32" s="20" t="s">
        <v>54</v>
      </c>
      <c r="B32" s="6" t="s">
        <v>55</v>
      </c>
      <c r="C32" s="6" t="s">
        <v>24</v>
      </c>
      <c r="D32" s="6" t="s">
        <v>21</v>
      </c>
      <c r="E32" s="7">
        <v>1450.71</v>
      </c>
      <c r="F32" s="10">
        <v>5</v>
      </c>
      <c r="G32" s="8">
        <v>0.1</v>
      </c>
      <c r="H32" s="12">
        <v>45427</v>
      </c>
      <c r="I32" s="21">
        <v>326.41000000000003</v>
      </c>
    </row>
    <row r="33" spans="1:9" ht="15.75" customHeight="1" x14ac:dyDescent="0.25">
      <c r="A33" s="20" t="s">
        <v>49</v>
      </c>
      <c r="B33" s="6" t="s">
        <v>56</v>
      </c>
      <c r="C33" s="6" t="s">
        <v>34</v>
      </c>
      <c r="D33" s="6" t="s">
        <v>12</v>
      </c>
      <c r="E33" s="7">
        <v>1023.21</v>
      </c>
      <c r="F33" s="10">
        <v>18</v>
      </c>
      <c r="G33" s="8">
        <v>0.05</v>
      </c>
      <c r="H33" s="12">
        <v>45428</v>
      </c>
      <c r="I33" s="21">
        <v>388.82</v>
      </c>
    </row>
    <row r="34" spans="1:9" ht="15.75" customHeight="1" x14ac:dyDescent="0.25">
      <c r="A34" s="20" t="s">
        <v>28</v>
      </c>
      <c r="B34" s="6" t="s">
        <v>47</v>
      </c>
      <c r="C34" s="6" t="s">
        <v>11</v>
      </c>
      <c r="D34" s="6" t="s">
        <v>27</v>
      </c>
      <c r="E34" s="7">
        <v>853.72</v>
      </c>
      <c r="F34" s="10">
        <v>5</v>
      </c>
      <c r="G34" s="8">
        <v>0.15</v>
      </c>
      <c r="H34" s="12">
        <v>45428</v>
      </c>
      <c r="I34" s="21">
        <v>253.98</v>
      </c>
    </row>
    <row r="35" spans="1:9" ht="15.75" customHeight="1" x14ac:dyDescent="0.25">
      <c r="A35" s="20" t="s">
        <v>57</v>
      </c>
      <c r="B35" s="6" t="s">
        <v>43</v>
      </c>
      <c r="C35" s="6" t="s">
        <v>20</v>
      </c>
      <c r="D35" s="6" t="s">
        <v>21</v>
      </c>
      <c r="E35" s="7">
        <v>967.89</v>
      </c>
      <c r="F35" s="10">
        <v>10</v>
      </c>
      <c r="G35" s="8">
        <v>0.1</v>
      </c>
      <c r="H35" s="12">
        <v>45429</v>
      </c>
      <c r="I35" s="21">
        <v>217.78</v>
      </c>
    </row>
    <row r="36" spans="1:9" ht="15.75" customHeight="1" x14ac:dyDescent="0.25">
      <c r="A36" s="20" t="s">
        <v>58</v>
      </c>
      <c r="B36" s="6" t="s">
        <v>53</v>
      </c>
      <c r="C36" s="6" t="s">
        <v>24</v>
      </c>
      <c r="D36" s="6" t="s">
        <v>39</v>
      </c>
      <c r="E36" s="7">
        <v>1200.9000000000001</v>
      </c>
      <c r="F36" s="10">
        <v>14</v>
      </c>
      <c r="G36" s="8">
        <v>0.05</v>
      </c>
      <c r="H36" s="12">
        <v>45429</v>
      </c>
      <c r="I36" s="21">
        <v>513.38</v>
      </c>
    </row>
    <row r="37" spans="1:9" ht="15.75" customHeight="1" x14ac:dyDescent="0.25">
      <c r="A37" s="20" t="s">
        <v>13</v>
      </c>
      <c r="B37" s="6" t="s">
        <v>26</v>
      </c>
      <c r="C37" s="6" t="s">
        <v>11</v>
      </c>
      <c r="D37" s="6" t="s">
        <v>12</v>
      </c>
      <c r="E37" s="7">
        <v>472.38</v>
      </c>
      <c r="F37" s="10">
        <v>12</v>
      </c>
      <c r="G37" s="8">
        <v>0.2</v>
      </c>
      <c r="H37" s="12">
        <v>45429</v>
      </c>
      <c r="I37" s="21">
        <v>151.16</v>
      </c>
    </row>
    <row r="38" spans="1:9" ht="15.75" customHeight="1" x14ac:dyDescent="0.25">
      <c r="A38" s="20" t="s">
        <v>9</v>
      </c>
      <c r="B38" s="6" t="s">
        <v>55</v>
      </c>
      <c r="C38" s="6" t="s">
        <v>18</v>
      </c>
      <c r="D38" s="6" t="s">
        <v>39</v>
      </c>
      <c r="E38" s="7">
        <v>840.92</v>
      </c>
      <c r="F38" s="10">
        <v>9</v>
      </c>
      <c r="G38" s="8">
        <v>0.05</v>
      </c>
      <c r="H38" s="12">
        <v>45429</v>
      </c>
      <c r="I38" s="21">
        <v>359.49</v>
      </c>
    </row>
    <row r="39" spans="1:9" ht="15.75" customHeight="1" x14ac:dyDescent="0.25">
      <c r="A39" s="20" t="s">
        <v>52</v>
      </c>
      <c r="B39" s="6" t="s">
        <v>48</v>
      </c>
      <c r="C39" s="6" t="s">
        <v>34</v>
      </c>
      <c r="D39" s="6" t="s">
        <v>27</v>
      </c>
      <c r="E39" s="7">
        <v>1410.06</v>
      </c>
      <c r="F39" s="10">
        <v>11</v>
      </c>
      <c r="G39" s="8">
        <v>0.05</v>
      </c>
      <c r="H39" s="12">
        <v>45434</v>
      </c>
      <c r="I39" s="21">
        <v>468.84</v>
      </c>
    </row>
    <row r="40" spans="1:9" ht="15.75" customHeight="1" x14ac:dyDescent="0.25">
      <c r="A40" s="20" t="s">
        <v>44</v>
      </c>
      <c r="B40" s="6" t="s">
        <v>59</v>
      </c>
      <c r="C40" s="6" t="s">
        <v>34</v>
      </c>
      <c r="D40" s="6" t="s">
        <v>27</v>
      </c>
      <c r="E40" s="7">
        <v>773.09</v>
      </c>
      <c r="F40" s="10">
        <v>13</v>
      </c>
      <c r="G40" s="8">
        <v>0.15</v>
      </c>
      <c r="H40" s="12">
        <v>45434</v>
      </c>
      <c r="I40" s="21">
        <v>229.99</v>
      </c>
    </row>
    <row r="41" spans="1:9" ht="15.75" customHeight="1" x14ac:dyDescent="0.25">
      <c r="A41" s="20" t="s">
        <v>60</v>
      </c>
      <c r="B41" s="6" t="s">
        <v>61</v>
      </c>
      <c r="C41" s="6" t="s">
        <v>18</v>
      </c>
      <c r="D41" s="6" t="s">
        <v>12</v>
      </c>
      <c r="E41" s="7">
        <v>580.42999999999995</v>
      </c>
      <c r="F41" s="10">
        <v>19</v>
      </c>
      <c r="G41" s="8">
        <v>0.15</v>
      </c>
      <c r="H41" s="12">
        <v>45435</v>
      </c>
      <c r="I41" s="21">
        <v>197.35</v>
      </c>
    </row>
    <row r="42" spans="1:9" ht="15.75" customHeight="1" x14ac:dyDescent="0.25">
      <c r="A42" s="20" t="s">
        <v>19</v>
      </c>
      <c r="B42" s="6" t="s">
        <v>42</v>
      </c>
      <c r="C42" s="6" t="s">
        <v>20</v>
      </c>
      <c r="D42" s="6" t="s">
        <v>12</v>
      </c>
      <c r="E42" s="7">
        <v>1151.21</v>
      </c>
      <c r="F42" s="10">
        <v>15</v>
      </c>
      <c r="G42" s="8">
        <v>0.1</v>
      </c>
      <c r="H42" s="12">
        <v>45445</v>
      </c>
      <c r="I42" s="21">
        <v>414.44</v>
      </c>
    </row>
    <row r="43" spans="1:9" ht="15.75" customHeight="1" x14ac:dyDescent="0.25">
      <c r="A43" s="20" t="s">
        <v>52</v>
      </c>
      <c r="B43" s="6" t="s">
        <v>23</v>
      </c>
      <c r="C43" s="6" t="s">
        <v>34</v>
      </c>
      <c r="D43" s="6" t="s">
        <v>39</v>
      </c>
      <c r="E43" s="7">
        <v>1025.98</v>
      </c>
      <c r="F43" s="10">
        <v>5</v>
      </c>
      <c r="G43" s="8">
        <v>0.2</v>
      </c>
      <c r="H43" s="12">
        <v>45447</v>
      </c>
      <c r="I43" s="21">
        <v>369.35</v>
      </c>
    </row>
    <row r="44" spans="1:9" ht="15.75" customHeight="1" x14ac:dyDescent="0.25">
      <c r="A44" s="20" t="s">
        <v>40</v>
      </c>
      <c r="B44" s="6" t="s">
        <v>56</v>
      </c>
      <c r="C44" s="6" t="s">
        <v>18</v>
      </c>
      <c r="D44" s="6" t="s">
        <v>39</v>
      </c>
      <c r="E44" s="7">
        <v>556.41999999999996</v>
      </c>
      <c r="F44" s="10">
        <v>11</v>
      </c>
      <c r="G44" s="8">
        <v>0.15</v>
      </c>
      <c r="H44" s="12">
        <v>45447</v>
      </c>
      <c r="I44" s="21">
        <v>212.83</v>
      </c>
    </row>
    <row r="45" spans="1:9" ht="15.75" customHeight="1" x14ac:dyDescent="0.25">
      <c r="A45" s="20" t="s">
        <v>57</v>
      </c>
      <c r="B45" s="6" t="s">
        <v>23</v>
      </c>
      <c r="C45" s="6" t="s">
        <v>34</v>
      </c>
      <c r="D45" s="6" t="s">
        <v>12</v>
      </c>
      <c r="E45" s="7">
        <v>840.85</v>
      </c>
      <c r="F45" s="10">
        <v>19</v>
      </c>
      <c r="G45" s="8">
        <v>0.1</v>
      </c>
      <c r="H45" s="12">
        <v>45448</v>
      </c>
      <c r="I45" s="21">
        <v>302.70999999999998</v>
      </c>
    </row>
    <row r="46" spans="1:9" ht="15.75" customHeight="1" x14ac:dyDescent="0.25">
      <c r="A46" s="20" t="s">
        <v>30</v>
      </c>
      <c r="B46" s="6" t="s">
        <v>61</v>
      </c>
      <c r="C46" s="6" t="s">
        <v>24</v>
      </c>
      <c r="D46" s="6" t="s">
        <v>27</v>
      </c>
      <c r="E46" s="7">
        <v>1227.25</v>
      </c>
      <c r="F46" s="10">
        <v>12</v>
      </c>
      <c r="G46" s="8">
        <v>0.15</v>
      </c>
      <c r="H46" s="12">
        <v>45448</v>
      </c>
      <c r="I46" s="21">
        <v>365.11</v>
      </c>
    </row>
    <row r="47" spans="1:9" ht="15.75" customHeight="1" x14ac:dyDescent="0.25">
      <c r="A47" s="20" t="s">
        <v>16</v>
      </c>
      <c r="B47" s="6" t="s">
        <v>62</v>
      </c>
      <c r="C47" s="6" t="s">
        <v>34</v>
      </c>
      <c r="D47" s="6" t="s">
        <v>21</v>
      </c>
      <c r="E47" s="7">
        <v>856.7</v>
      </c>
      <c r="F47" s="10">
        <v>2</v>
      </c>
      <c r="G47" s="8">
        <v>0</v>
      </c>
      <c r="H47" s="12">
        <v>45449</v>
      </c>
      <c r="I47" s="21">
        <v>214.18</v>
      </c>
    </row>
    <row r="48" spans="1:9" ht="15.75" customHeight="1" x14ac:dyDescent="0.25">
      <c r="A48" s="20" t="s">
        <v>54</v>
      </c>
      <c r="B48" s="6" t="s">
        <v>56</v>
      </c>
      <c r="C48" s="6" t="s">
        <v>34</v>
      </c>
      <c r="D48" s="6" t="s">
        <v>39</v>
      </c>
      <c r="E48" s="7">
        <v>1225.42</v>
      </c>
      <c r="F48" s="10">
        <v>8</v>
      </c>
      <c r="G48" s="8">
        <v>0.15</v>
      </c>
      <c r="H48" s="12">
        <v>45449</v>
      </c>
      <c r="I48" s="21">
        <v>468.72</v>
      </c>
    </row>
    <row r="49" spans="1:9" ht="15.75" customHeight="1" x14ac:dyDescent="0.25">
      <c r="A49" s="20" t="s">
        <v>63</v>
      </c>
      <c r="B49" s="6" t="s">
        <v>31</v>
      </c>
      <c r="C49" s="6" t="s">
        <v>24</v>
      </c>
      <c r="D49" s="6" t="s">
        <v>39</v>
      </c>
      <c r="E49" s="7">
        <v>1001.57</v>
      </c>
      <c r="F49" s="10">
        <v>12</v>
      </c>
      <c r="G49" s="8">
        <v>0</v>
      </c>
      <c r="H49" s="12">
        <v>45450</v>
      </c>
      <c r="I49" s="21">
        <v>450.71</v>
      </c>
    </row>
    <row r="50" spans="1:9" ht="15.75" customHeight="1" x14ac:dyDescent="0.25">
      <c r="A50" s="20" t="s">
        <v>57</v>
      </c>
      <c r="B50" s="6" t="s">
        <v>26</v>
      </c>
      <c r="C50" s="6" t="s">
        <v>18</v>
      </c>
      <c r="D50" s="6" t="s">
        <v>27</v>
      </c>
      <c r="E50" s="7">
        <v>1186.8499999999999</v>
      </c>
      <c r="F50" s="10">
        <v>19</v>
      </c>
      <c r="G50" s="8">
        <v>0.2</v>
      </c>
      <c r="H50" s="12">
        <v>45451</v>
      </c>
      <c r="I50" s="21">
        <v>332.32</v>
      </c>
    </row>
    <row r="51" spans="1:9" ht="15.75" customHeight="1" x14ac:dyDescent="0.25">
      <c r="A51" s="20" t="s">
        <v>44</v>
      </c>
      <c r="B51" s="6" t="s">
        <v>51</v>
      </c>
      <c r="C51" s="6" t="s">
        <v>20</v>
      </c>
      <c r="D51" s="6" t="s">
        <v>21</v>
      </c>
      <c r="E51" s="7">
        <v>775.45</v>
      </c>
      <c r="F51" s="10">
        <v>6</v>
      </c>
      <c r="G51" s="8">
        <v>0.1</v>
      </c>
      <c r="H51" s="12">
        <v>45457</v>
      </c>
      <c r="I51" s="21">
        <v>174.48</v>
      </c>
    </row>
    <row r="52" spans="1:9" ht="15.75" customHeight="1" x14ac:dyDescent="0.25">
      <c r="A52" s="20" t="s">
        <v>25</v>
      </c>
      <c r="B52" s="6" t="s">
        <v>33</v>
      </c>
      <c r="C52" s="6" t="s">
        <v>20</v>
      </c>
      <c r="D52" s="6" t="s">
        <v>21</v>
      </c>
      <c r="E52" s="7">
        <v>1021.47</v>
      </c>
      <c r="F52" s="10">
        <v>6</v>
      </c>
      <c r="G52" s="8">
        <v>0.05</v>
      </c>
      <c r="H52" s="12">
        <v>45461</v>
      </c>
      <c r="I52" s="21">
        <v>242.6</v>
      </c>
    </row>
    <row r="53" spans="1:9" ht="15.75" customHeight="1" x14ac:dyDescent="0.25">
      <c r="A53" s="20" t="s">
        <v>58</v>
      </c>
      <c r="B53" s="6" t="s">
        <v>23</v>
      </c>
      <c r="C53" s="6" t="s">
        <v>20</v>
      </c>
      <c r="D53" s="6" t="s">
        <v>15</v>
      </c>
      <c r="E53" s="7">
        <v>1226.6199999999999</v>
      </c>
      <c r="F53" s="10">
        <v>7</v>
      </c>
      <c r="G53" s="8">
        <v>0.1</v>
      </c>
      <c r="H53" s="12">
        <v>45463</v>
      </c>
      <c r="I53" s="21">
        <v>551.98</v>
      </c>
    </row>
    <row r="54" spans="1:9" ht="15.75" customHeight="1" x14ac:dyDescent="0.25">
      <c r="A54" s="20" t="s">
        <v>22</v>
      </c>
      <c r="B54" s="6" t="s">
        <v>64</v>
      </c>
      <c r="C54" s="6" t="s">
        <v>20</v>
      </c>
      <c r="D54" s="6" t="s">
        <v>27</v>
      </c>
      <c r="E54" s="7">
        <v>1086.93</v>
      </c>
      <c r="F54" s="10">
        <v>2</v>
      </c>
      <c r="G54" s="8">
        <v>0</v>
      </c>
      <c r="H54" s="12">
        <v>45464</v>
      </c>
      <c r="I54" s="21">
        <v>380.43</v>
      </c>
    </row>
    <row r="55" spans="1:9" ht="15.75" customHeight="1" x14ac:dyDescent="0.25">
      <c r="A55" s="20" t="s">
        <v>65</v>
      </c>
      <c r="B55" s="6" t="s">
        <v>48</v>
      </c>
      <c r="C55" s="6" t="s">
        <v>11</v>
      </c>
      <c r="D55" s="6" t="s">
        <v>12</v>
      </c>
      <c r="E55" s="7">
        <v>942.9</v>
      </c>
      <c r="F55" s="10">
        <v>18</v>
      </c>
      <c r="G55" s="8">
        <v>0.1</v>
      </c>
      <c r="H55" s="12">
        <v>45466</v>
      </c>
      <c r="I55" s="21">
        <v>339.44</v>
      </c>
    </row>
    <row r="56" spans="1:9" ht="15.75" customHeight="1" x14ac:dyDescent="0.25">
      <c r="A56" s="20" t="s">
        <v>32</v>
      </c>
      <c r="B56" s="6" t="s">
        <v>38</v>
      </c>
      <c r="C56" s="6" t="s">
        <v>24</v>
      </c>
      <c r="D56" s="6" t="s">
        <v>21</v>
      </c>
      <c r="E56" s="7">
        <v>818.8</v>
      </c>
      <c r="F56" s="10">
        <v>15</v>
      </c>
      <c r="G56" s="8">
        <v>0.15</v>
      </c>
      <c r="H56" s="12">
        <v>45468</v>
      </c>
      <c r="I56" s="21">
        <v>173.99</v>
      </c>
    </row>
    <row r="57" spans="1:9" ht="15.75" customHeight="1" x14ac:dyDescent="0.25">
      <c r="A57" s="20" t="s">
        <v>19</v>
      </c>
      <c r="B57" s="6" t="s">
        <v>14</v>
      </c>
      <c r="C57" s="6" t="s">
        <v>20</v>
      </c>
      <c r="D57" s="6" t="s">
        <v>27</v>
      </c>
      <c r="E57" s="7">
        <v>919.04</v>
      </c>
      <c r="F57" s="10">
        <v>10</v>
      </c>
      <c r="G57" s="8">
        <v>0.2</v>
      </c>
      <c r="H57" s="12">
        <v>45468</v>
      </c>
      <c r="I57" s="21">
        <v>257.33</v>
      </c>
    </row>
    <row r="58" spans="1:9" ht="15.75" customHeight="1" x14ac:dyDescent="0.25">
      <c r="A58" s="20" t="s">
        <v>22</v>
      </c>
      <c r="B58" s="6" t="s">
        <v>66</v>
      </c>
      <c r="C58" s="6" t="s">
        <v>34</v>
      </c>
      <c r="D58" s="6" t="s">
        <v>12</v>
      </c>
      <c r="E58" s="7">
        <v>973.26</v>
      </c>
      <c r="F58" s="10">
        <v>11</v>
      </c>
      <c r="G58" s="8">
        <v>0</v>
      </c>
      <c r="H58" s="12">
        <v>45470</v>
      </c>
      <c r="I58" s="21">
        <v>389.3</v>
      </c>
    </row>
    <row r="59" spans="1:9" ht="15.75" customHeight="1" x14ac:dyDescent="0.25">
      <c r="A59" s="20" t="s">
        <v>41</v>
      </c>
      <c r="B59" s="6" t="s">
        <v>64</v>
      </c>
      <c r="C59" s="6" t="s">
        <v>24</v>
      </c>
      <c r="D59" s="6" t="s">
        <v>21</v>
      </c>
      <c r="E59" s="7">
        <v>741.61</v>
      </c>
      <c r="F59" s="10">
        <v>1</v>
      </c>
      <c r="G59" s="8">
        <v>0.2</v>
      </c>
      <c r="H59" s="12">
        <v>45471</v>
      </c>
      <c r="I59" s="21">
        <v>148.32</v>
      </c>
    </row>
    <row r="60" spans="1:9" ht="15.75" customHeight="1" x14ac:dyDescent="0.25">
      <c r="A60" s="20" t="s">
        <v>67</v>
      </c>
      <c r="B60" s="6" t="s">
        <v>38</v>
      </c>
      <c r="C60" s="6" t="s">
        <v>24</v>
      </c>
      <c r="D60" s="6" t="s">
        <v>12</v>
      </c>
      <c r="E60" s="7">
        <v>1248.82</v>
      </c>
      <c r="F60" s="10">
        <v>2</v>
      </c>
      <c r="G60" s="8">
        <v>0.1</v>
      </c>
      <c r="H60" s="12">
        <v>45473</v>
      </c>
      <c r="I60" s="21">
        <v>449.58</v>
      </c>
    </row>
    <row r="61" spans="1:9" ht="15.75" customHeight="1" x14ac:dyDescent="0.25">
      <c r="A61" s="20" t="s">
        <v>13</v>
      </c>
      <c r="B61" s="6" t="s">
        <v>59</v>
      </c>
      <c r="C61" s="6" t="s">
        <v>11</v>
      </c>
      <c r="D61" s="6" t="s">
        <v>15</v>
      </c>
      <c r="E61" s="7">
        <v>1360.36</v>
      </c>
      <c r="F61" s="10">
        <v>17</v>
      </c>
      <c r="G61" s="8">
        <v>0</v>
      </c>
      <c r="H61" s="12">
        <v>45473</v>
      </c>
      <c r="I61" s="21">
        <v>680.18</v>
      </c>
    </row>
    <row r="62" spans="1:9" ht="15.75" customHeight="1" x14ac:dyDescent="0.25">
      <c r="A62" s="20" t="s">
        <v>57</v>
      </c>
      <c r="B62" s="6" t="s">
        <v>31</v>
      </c>
      <c r="C62" s="6" t="s">
        <v>18</v>
      </c>
      <c r="D62" s="6" t="s">
        <v>12</v>
      </c>
      <c r="E62" s="7">
        <v>1383.3</v>
      </c>
      <c r="F62" s="10">
        <v>8</v>
      </c>
      <c r="G62" s="8">
        <v>0.1</v>
      </c>
      <c r="H62" s="12">
        <v>45478</v>
      </c>
      <c r="I62" s="21">
        <v>497.99</v>
      </c>
    </row>
    <row r="63" spans="1:9" ht="15.75" customHeight="1" x14ac:dyDescent="0.25">
      <c r="A63" s="20" t="s">
        <v>35</v>
      </c>
      <c r="B63" s="6" t="s">
        <v>55</v>
      </c>
      <c r="C63" s="6" t="s">
        <v>34</v>
      </c>
      <c r="D63" s="6" t="s">
        <v>39</v>
      </c>
      <c r="E63" s="7">
        <v>488.99</v>
      </c>
      <c r="F63" s="10">
        <v>9</v>
      </c>
      <c r="G63" s="8">
        <v>0</v>
      </c>
      <c r="H63" s="12">
        <v>45479</v>
      </c>
      <c r="I63" s="21">
        <v>220.05</v>
      </c>
    </row>
    <row r="64" spans="1:9" ht="15.75" customHeight="1" x14ac:dyDescent="0.25">
      <c r="A64" s="20" t="s">
        <v>30</v>
      </c>
      <c r="B64" s="6" t="s">
        <v>31</v>
      </c>
      <c r="C64" s="6" t="s">
        <v>18</v>
      </c>
      <c r="D64" s="6" t="s">
        <v>27</v>
      </c>
      <c r="E64" s="7">
        <v>933.71</v>
      </c>
      <c r="F64" s="10">
        <v>17</v>
      </c>
      <c r="G64" s="8">
        <v>0.1</v>
      </c>
      <c r="H64" s="12">
        <v>45481</v>
      </c>
      <c r="I64" s="21">
        <v>294.12</v>
      </c>
    </row>
    <row r="65" spans="1:9" ht="15.75" customHeight="1" x14ac:dyDescent="0.25">
      <c r="A65" s="20" t="s">
        <v>67</v>
      </c>
      <c r="B65" s="6" t="s">
        <v>10</v>
      </c>
      <c r="C65" s="6" t="s">
        <v>11</v>
      </c>
      <c r="D65" s="6" t="s">
        <v>21</v>
      </c>
      <c r="E65" s="7">
        <v>1005.53</v>
      </c>
      <c r="F65" s="10">
        <v>17</v>
      </c>
      <c r="G65" s="8">
        <v>0.2</v>
      </c>
      <c r="H65" s="12">
        <v>45481</v>
      </c>
      <c r="I65" s="21">
        <v>201.11</v>
      </c>
    </row>
    <row r="66" spans="1:9" ht="15.75" customHeight="1" x14ac:dyDescent="0.25">
      <c r="A66" s="20" t="s">
        <v>41</v>
      </c>
      <c r="B66" s="6" t="s">
        <v>61</v>
      </c>
      <c r="C66" s="6" t="s">
        <v>20</v>
      </c>
      <c r="D66" s="6" t="s">
        <v>21</v>
      </c>
      <c r="E66" s="7">
        <v>1100.0999999999999</v>
      </c>
      <c r="F66" s="10">
        <v>5</v>
      </c>
      <c r="G66" s="8">
        <v>0.05</v>
      </c>
      <c r="H66" s="12">
        <v>45482</v>
      </c>
      <c r="I66" s="21">
        <v>261.27</v>
      </c>
    </row>
    <row r="67" spans="1:9" ht="15.75" customHeight="1" x14ac:dyDescent="0.25">
      <c r="A67" s="20" t="s">
        <v>67</v>
      </c>
      <c r="B67" s="6" t="s">
        <v>23</v>
      </c>
      <c r="C67" s="6" t="s">
        <v>24</v>
      </c>
      <c r="D67" s="6" t="s">
        <v>27</v>
      </c>
      <c r="E67" s="7">
        <v>1034.7</v>
      </c>
      <c r="F67" s="10">
        <v>15</v>
      </c>
      <c r="G67" s="8">
        <v>0.15</v>
      </c>
      <c r="H67" s="12">
        <v>45487</v>
      </c>
      <c r="I67" s="21">
        <v>307.82</v>
      </c>
    </row>
    <row r="68" spans="1:9" ht="15.75" customHeight="1" x14ac:dyDescent="0.25">
      <c r="A68" s="20" t="s">
        <v>65</v>
      </c>
      <c r="B68" s="6" t="s">
        <v>31</v>
      </c>
      <c r="C68" s="6" t="s">
        <v>20</v>
      </c>
      <c r="D68" s="6" t="s">
        <v>12</v>
      </c>
      <c r="E68" s="7">
        <v>876.44</v>
      </c>
      <c r="F68" s="10">
        <v>12</v>
      </c>
      <c r="G68" s="8">
        <v>0.05</v>
      </c>
      <c r="H68" s="12">
        <v>45488</v>
      </c>
      <c r="I68" s="21">
        <v>333.05</v>
      </c>
    </row>
    <row r="69" spans="1:9" ht="15.75" customHeight="1" x14ac:dyDescent="0.25">
      <c r="A69" s="20" t="s">
        <v>68</v>
      </c>
      <c r="B69" s="6" t="s">
        <v>55</v>
      </c>
      <c r="C69" s="6" t="s">
        <v>11</v>
      </c>
      <c r="D69" s="6" t="s">
        <v>27</v>
      </c>
      <c r="E69" s="7">
        <v>1371.34</v>
      </c>
      <c r="F69" s="10">
        <v>5</v>
      </c>
      <c r="G69" s="8">
        <v>0.05</v>
      </c>
      <c r="H69" s="12">
        <v>45488</v>
      </c>
      <c r="I69" s="21">
        <v>455.97</v>
      </c>
    </row>
    <row r="70" spans="1:9" ht="15.75" customHeight="1" x14ac:dyDescent="0.25">
      <c r="A70" s="20" t="s">
        <v>57</v>
      </c>
      <c r="B70" s="6" t="s">
        <v>47</v>
      </c>
      <c r="C70" s="6" t="s">
        <v>24</v>
      </c>
      <c r="D70" s="6" t="s">
        <v>21</v>
      </c>
      <c r="E70" s="7">
        <v>1020.26</v>
      </c>
      <c r="F70" s="10">
        <v>11</v>
      </c>
      <c r="G70" s="8">
        <v>0.05</v>
      </c>
      <c r="H70" s="12">
        <v>45494</v>
      </c>
      <c r="I70" s="21">
        <v>242.31</v>
      </c>
    </row>
    <row r="71" spans="1:9" ht="15.75" customHeight="1" x14ac:dyDescent="0.25">
      <c r="A71" s="20" t="s">
        <v>44</v>
      </c>
      <c r="B71" s="6" t="s">
        <v>10</v>
      </c>
      <c r="C71" s="6" t="s">
        <v>34</v>
      </c>
      <c r="D71" s="6" t="s">
        <v>39</v>
      </c>
      <c r="E71" s="7">
        <v>804.81</v>
      </c>
      <c r="F71" s="10">
        <v>1</v>
      </c>
      <c r="G71" s="8">
        <v>0.05</v>
      </c>
      <c r="H71" s="12">
        <v>45502</v>
      </c>
      <c r="I71" s="21">
        <v>344.06</v>
      </c>
    </row>
    <row r="72" spans="1:9" ht="15.75" customHeight="1" x14ac:dyDescent="0.25">
      <c r="A72" s="20" t="s">
        <v>22</v>
      </c>
      <c r="B72" s="6" t="s">
        <v>55</v>
      </c>
      <c r="C72" s="6" t="s">
        <v>34</v>
      </c>
      <c r="D72" s="6" t="s">
        <v>21</v>
      </c>
      <c r="E72" s="7">
        <v>608.66</v>
      </c>
      <c r="F72" s="10">
        <v>1</v>
      </c>
      <c r="G72" s="8">
        <v>0.05</v>
      </c>
      <c r="H72" s="12">
        <v>45503</v>
      </c>
      <c r="I72" s="21">
        <v>144.56</v>
      </c>
    </row>
    <row r="73" spans="1:9" ht="15.75" customHeight="1" x14ac:dyDescent="0.25">
      <c r="A73" s="20" t="s">
        <v>68</v>
      </c>
      <c r="B73" s="6" t="s">
        <v>69</v>
      </c>
      <c r="C73" s="6" t="s">
        <v>20</v>
      </c>
      <c r="D73" s="6" t="s">
        <v>39</v>
      </c>
      <c r="E73" s="7">
        <v>981.2</v>
      </c>
      <c r="F73" s="10">
        <v>19</v>
      </c>
      <c r="G73" s="8">
        <v>0</v>
      </c>
      <c r="H73" s="12">
        <v>45504</v>
      </c>
      <c r="I73" s="21">
        <v>441.54</v>
      </c>
    </row>
    <row r="74" spans="1:9" ht="15.75" customHeight="1" x14ac:dyDescent="0.25">
      <c r="A74" s="20" t="s">
        <v>70</v>
      </c>
      <c r="B74" s="6" t="s">
        <v>55</v>
      </c>
      <c r="C74" s="6" t="s">
        <v>18</v>
      </c>
      <c r="D74" s="6" t="s">
        <v>21</v>
      </c>
      <c r="E74" s="7">
        <v>539.77</v>
      </c>
      <c r="F74" s="10">
        <v>10</v>
      </c>
      <c r="G74" s="8">
        <v>0.15</v>
      </c>
      <c r="H74" s="12">
        <v>45509</v>
      </c>
      <c r="I74" s="21">
        <v>114.7</v>
      </c>
    </row>
    <row r="75" spans="1:9" ht="15.75" customHeight="1" x14ac:dyDescent="0.25">
      <c r="A75" s="20" t="s">
        <v>13</v>
      </c>
      <c r="B75" s="6" t="s">
        <v>71</v>
      </c>
      <c r="C75" s="6" t="s">
        <v>20</v>
      </c>
      <c r="D75" s="6" t="s">
        <v>12</v>
      </c>
      <c r="E75" s="7">
        <v>804.45</v>
      </c>
      <c r="F75" s="10">
        <v>5</v>
      </c>
      <c r="G75" s="8">
        <v>0.2</v>
      </c>
      <c r="H75" s="12">
        <v>45509</v>
      </c>
      <c r="I75" s="21">
        <v>257.42</v>
      </c>
    </row>
    <row r="76" spans="1:9" ht="15.75" customHeight="1" x14ac:dyDescent="0.25">
      <c r="A76" s="20" t="s">
        <v>70</v>
      </c>
      <c r="B76" s="6" t="s">
        <v>38</v>
      </c>
      <c r="C76" s="6" t="s">
        <v>11</v>
      </c>
      <c r="D76" s="6" t="s">
        <v>21</v>
      </c>
      <c r="E76" s="7">
        <v>1526.6</v>
      </c>
      <c r="F76" s="10">
        <v>13</v>
      </c>
      <c r="G76" s="8">
        <v>0.2</v>
      </c>
      <c r="H76" s="12">
        <v>45512</v>
      </c>
      <c r="I76" s="21">
        <v>305.32</v>
      </c>
    </row>
    <row r="77" spans="1:9" ht="15.75" customHeight="1" x14ac:dyDescent="0.25">
      <c r="A77" s="20" t="s">
        <v>13</v>
      </c>
      <c r="B77" s="6" t="s">
        <v>29</v>
      </c>
      <c r="C77" s="6" t="s">
        <v>11</v>
      </c>
      <c r="D77" s="6" t="s">
        <v>21</v>
      </c>
      <c r="E77" s="7">
        <v>1215.26</v>
      </c>
      <c r="F77" s="10">
        <v>5</v>
      </c>
      <c r="G77" s="8">
        <v>0.15</v>
      </c>
      <c r="H77" s="12">
        <v>45513</v>
      </c>
      <c r="I77" s="21">
        <v>258.24</v>
      </c>
    </row>
    <row r="78" spans="1:9" ht="15.75" customHeight="1" x14ac:dyDescent="0.25">
      <c r="A78" s="20" t="s">
        <v>19</v>
      </c>
      <c r="B78" s="6" t="s">
        <v>53</v>
      </c>
      <c r="C78" s="6" t="s">
        <v>34</v>
      </c>
      <c r="D78" s="6" t="s">
        <v>27</v>
      </c>
      <c r="E78" s="7">
        <v>1261.3399999999999</v>
      </c>
      <c r="F78" s="10">
        <v>3</v>
      </c>
      <c r="G78" s="8">
        <v>0</v>
      </c>
      <c r="H78" s="12">
        <v>45519</v>
      </c>
      <c r="I78" s="21">
        <v>441.47</v>
      </c>
    </row>
    <row r="79" spans="1:9" ht="15.75" customHeight="1" x14ac:dyDescent="0.25">
      <c r="A79" s="20" t="s">
        <v>72</v>
      </c>
      <c r="B79" s="6" t="s">
        <v>45</v>
      </c>
      <c r="C79" s="6" t="s">
        <v>24</v>
      </c>
      <c r="D79" s="6" t="s">
        <v>27</v>
      </c>
      <c r="E79" s="7">
        <v>518.07000000000005</v>
      </c>
      <c r="F79" s="10">
        <v>7</v>
      </c>
      <c r="G79" s="8">
        <v>0.05</v>
      </c>
      <c r="H79" s="12">
        <v>45522</v>
      </c>
      <c r="I79" s="21">
        <v>172.26</v>
      </c>
    </row>
    <row r="80" spans="1:9" ht="15.75" customHeight="1" x14ac:dyDescent="0.25">
      <c r="A80" s="20" t="s">
        <v>30</v>
      </c>
      <c r="B80" s="6" t="s">
        <v>29</v>
      </c>
      <c r="C80" s="6" t="s">
        <v>11</v>
      </c>
      <c r="D80" s="6" t="s">
        <v>39</v>
      </c>
      <c r="E80" s="7">
        <v>1111.3399999999999</v>
      </c>
      <c r="F80" s="10">
        <v>1</v>
      </c>
      <c r="G80" s="8">
        <v>0</v>
      </c>
      <c r="H80" s="12">
        <v>45523</v>
      </c>
      <c r="I80" s="21">
        <v>500.1</v>
      </c>
    </row>
    <row r="81" spans="1:9" ht="15.75" customHeight="1" x14ac:dyDescent="0.25">
      <c r="A81" s="20" t="s">
        <v>22</v>
      </c>
      <c r="B81" s="6" t="s">
        <v>31</v>
      </c>
      <c r="C81" s="6" t="s">
        <v>18</v>
      </c>
      <c r="D81" s="6" t="s">
        <v>15</v>
      </c>
      <c r="E81" s="7">
        <v>1291.47</v>
      </c>
      <c r="F81" s="10">
        <v>18</v>
      </c>
      <c r="G81" s="8">
        <v>0.1</v>
      </c>
      <c r="H81" s="12">
        <v>45526</v>
      </c>
      <c r="I81" s="21">
        <v>581.16</v>
      </c>
    </row>
    <row r="82" spans="1:9" ht="15.75" customHeight="1" x14ac:dyDescent="0.25">
      <c r="A82" s="20" t="s">
        <v>25</v>
      </c>
      <c r="B82" s="6" t="s">
        <v>55</v>
      </c>
      <c r="C82" s="6" t="s">
        <v>24</v>
      </c>
      <c r="D82" s="6" t="s">
        <v>12</v>
      </c>
      <c r="E82" s="7">
        <v>679.71</v>
      </c>
      <c r="F82" s="10">
        <v>19</v>
      </c>
      <c r="G82" s="8">
        <v>0</v>
      </c>
      <c r="H82" s="12">
        <v>45534</v>
      </c>
      <c r="I82" s="21">
        <v>271.88</v>
      </c>
    </row>
    <row r="83" spans="1:9" ht="15.75" customHeight="1" x14ac:dyDescent="0.25">
      <c r="A83" s="20" t="s">
        <v>68</v>
      </c>
      <c r="B83" s="6" t="s">
        <v>33</v>
      </c>
      <c r="C83" s="6" t="s">
        <v>18</v>
      </c>
      <c r="D83" s="6" t="s">
        <v>27</v>
      </c>
      <c r="E83" s="7">
        <v>1143.69</v>
      </c>
      <c r="F83" s="10">
        <v>17</v>
      </c>
      <c r="G83" s="8">
        <v>0</v>
      </c>
      <c r="H83" s="12">
        <v>45534</v>
      </c>
      <c r="I83" s="21">
        <v>400.29</v>
      </c>
    </row>
    <row r="84" spans="1:9" ht="15.75" customHeight="1" x14ac:dyDescent="0.25">
      <c r="A84" s="20" t="s">
        <v>52</v>
      </c>
      <c r="B84" s="6" t="s">
        <v>50</v>
      </c>
      <c r="C84" s="6" t="s">
        <v>34</v>
      </c>
      <c r="D84" s="6" t="s">
        <v>21</v>
      </c>
      <c r="E84" s="7">
        <v>790.08</v>
      </c>
      <c r="F84" s="10">
        <v>7</v>
      </c>
      <c r="G84" s="8">
        <v>0.1</v>
      </c>
      <c r="H84" s="12">
        <v>45536</v>
      </c>
      <c r="I84" s="21">
        <v>177.77</v>
      </c>
    </row>
    <row r="85" spans="1:9" ht="15.75" customHeight="1" x14ac:dyDescent="0.25">
      <c r="A85" s="20" t="s">
        <v>19</v>
      </c>
      <c r="B85" s="6" t="s">
        <v>48</v>
      </c>
      <c r="C85" s="6" t="s">
        <v>34</v>
      </c>
      <c r="D85" s="6" t="s">
        <v>12</v>
      </c>
      <c r="E85" s="7">
        <v>1070.68</v>
      </c>
      <c r="F85" s="10">
        <v>7</v>
      </c>
      <c r="G85" s="8">
        <v>0.05</v>
      </c>
      <c r="H85" s="12">
        <v>45536</v>
      </c>
      <c r="I85" s="21">
        <v>406.86</v>
      </c>
    </row>
    <row r="86" spans="1:9" ht="15.75" customHeight="1" x14ac:dyDescent="0.25">
      <c r="A86" s="20" t="s">
        <v>58</v>
      </c>
      <c r="B86" s="6" t="s">
        <v>36</v>
      </c>
      <c r="C86" s="6" t="s">
        <v>11</v>
      </c>
      <c r="D86" s="6" t="s">
        <v>15</v>
      </c>
      <c r="E86" s="7">
        <v>1168.8900000000001</v>
      </c>
      <c r="F86" s="10">
        <v>4</v>
      </c>
      <c r="G86" s="8">
        <v>0.1</v>
      </c>
      <c r="H86" s="12">
        <v>45544</v>
      </c>
      <c r="I86" s="21">
        <v>526</v>
      </c>
    </row>
    <row r="87" spans="1:9" ht="15.75" customHeight="1" x14ac:dyDescent="0.25">
      <c r="A87" s="20" t="s">
        <v>67</v>
      </c>
      <c r="B87" s="6" t="s">
        <v>10</v>
      </c>
      <c r="C87" s="6" t="s">
        <v>20</v>
      </c>
      <c r="D87" s="6" t="s">
        <v>21</v>
      </c>
      <c r="E87" s="7">
        <v>1335.87</v>
      </c>
      <c r="F87" s="10">
        <v>17</v>
      </c>
      <c r="G87" s="8">
        <v>0</v>
      </c>
      <c r="H87" s="12">
        <v>45544</v>
      </c>
      <c r="I87" s="21">
        <v>333.97</v>
      </c>
    </row>
    <row r="88" spans="1:9" ht="15.75" customHeight="1" x14ac:dyDescent="0.25">
      <c r="A88" s="20" t="s">
        <v>40</v>
      </c>
      <c r="B88" s="6" t="s">
        <v>55</v>
      </c>
      <c r="C88" s="6" t="s">
        <v>18</v>
      </c>
      <c r="D88" s="6" t="s">
        <v>27</v>
      </c>
      <c r="E88" s="7">
        <v>873.7</v>
      </c>
      <c r="F88" s="10">
        <v>9</v>
      </c>
      <c r="G88" s="8">
        <v>0</v>
      </c>
      <c r="H88" s="12">
        <v>45546</v>
      </c>
      <c r="I88" s="21">
        <v>305.8</v>
      </c>
    </row>
    <row r="89" spans="1:9" ht="15.75" customHeight="1" x14ac:dyDescent="0.25">
      <c r="A89" s="20" t="s">
        <v>72</v>
      </c>
      <c r="B89" s="6" t="s">
        <v>64</v>
      </c>
      <c r="C89" s="6" t="s">
        <v>11</v>
      </c>
      <c r="D89" s="6" t="s">
        <v>39</v>
      </c>
      <c r="E89" s="7">
        <v>1443.98</v>
      </c>
      <c r="F89" s="10">
        <v>19</v>
      </c>
      <c r="G89" s="8">
        <v>0</v>
      </c>
      <c r="H89" s="12">
        <v>45547</v>
      </c>
      <c r="I89" s="21">
        <v>649.79</v>
      </c>
    </row>
    <row r="90" spans="1:9" ht="15.75" customHeight="1" x14ac:dyDescent="0.25">
      <c r="A90" s="20" t="s">
        <v>40</v>
      </c>
      <c r="B90" s="6" t="s">
        <v>23</v>
      </c>
      <c r="C90" s="6" t="s">
        <v>18</v>
      </c>
      <c r="D90" s="6" t="s">
        <v>39</v>
      </c>
      <c r="E90" s="7">
        <v>1154.33</v>
      </c>
      <c r="F90" s="10">
        <v>11</v>
      </c>
      <c r="G90" s="8">
        <v>0.15</v>
      </c>
      <c r="H90" s="12">
        <v>45549</v>
      </c>
      <c r="I90" s="21">
        <v>441.53</v>
      </c>
    </row>
    <row r="91" spans="1:9" ht="15.75" customHeight="1" x14ac:dyDescent="0.25">
      <c r="A91" s="20" t="s">
        <v>49</v>
      </c>
      <c r="B91" s="6" t="s">
        <v>50</v>
      </c>
      <c r="C91" s="6" t="s">
        <v>20</v>
      </c>
      <c r="D91" s="6" t="s">
        <v>12</v>
      </c>
      <c r="E91" s="7">
        <v>1264.49</v>
      </c>
      <c r="F91" s="10">
        <v>16</v>
      </c>
      <c r="G91" s="8">
        <v>0.05</v>
      </c>
      <c r="H91" s="12">
        <v>45549</v>
      </c>
      <c r="I91" s="21">
        <v>480.51</v>
      </c>
    </row>
    <row r="92" spans="1:9" ht="15.75" customHeight="1" x14ac:dyDescent="0.25">
      <c r="A92" s="20" t="s">
        <v>25</v>
      </c>
      <c r="B92" s="6" t="s">
        <v>66</v>
      </c>
      <c r="C92" s="6" t="s">
        <v>11</v>
      </c>
      <c r="D92" s="6" t="s">
        <v>27</v>
      </c>
      <c r="E92" s="7">
        <v>1101.55</v>
      </c>
      <c r="F92" s="10">
        <v>4</v>
      </c>
      <c r="G92" s="8">
        <v>0.1</v>
      </c>
      <c r="H92" s="12">
        <v>45551</v>
      </c>
      <c r="I92" s="21">
        <v>346.99</v>
      </c>
    </row>
    <row r="93" spans="1:9" ht="15.75" customHeight="1" x14ac:dyDescent="0.25">
      <c r="A93" s="20" t="s">
        <v>73</v>
      </c>
      <c r="B93" s="6" t="s">
        <v>14</v>
      </c>
      <c r="C93" s="6" t="s">
        <v>20</v>
      </c>
      <c r="D93" s="6" t="s">
        <v>27</v>
      </c>
      <c r="E93" s="7">
        <v>727.73</v>
      </c>
      <c r="F93" s="10">
        <v>1</v>
      </c>
      <c r="G93" s="8">
        <v>0.1</v>
      </c>
      <c r="H93" s="12">
        <v>45552</v>
      </c>
      <c r="I93" s="21">
        <v>229.23</v>
      </c>
    </row>
    <row r="94" spans="1:9" ht="15.75" customHeight="1" x14ac:dyDescent="0.25">
      <c r="A94" s="20" t="s">
        <v>74</v>
      </c>
      <c r="B94" s="6" t="s">
        <v>38</v>
      </c>
      <c r="C94" s="6" t="s">
        <v>18</v>
      </c>
      <c r="D94" s="6" t="s">
        <v>39</v>
      </c>
      <c r="E94" s="7">
        <v>875.41</v>
      </c>
      <c r="F94" s="10">
        <v>13</v>
      </c>
      <c r="G94" s="8">
        <v>0.15</v>
      </c>
      <c r="H94" s="12">
        <v>45552</v>
      </c>
      <c r="I94" s="21">
        <v>334.84</v>
      </c>
    </row>
    <row r="95" spans="1:9" ht="15.75" customHeight="1" x14ac:dyDescent="0.25">
      <c r="A95" s="20" t="s">
        <v>67</v>
      </c>
      <c r="B95" s="6" t="s">
        <v>23</v>
      </c>
      <c r="C95" s="6" t="s">
        <v>11</v>
      </c>
      <c r="D95" s="6" t="s">
        <v>21</v>
      </c>
      <c r="E95" s="7">
        <v>1158.94</v>
      </c>
      <c r="F95" s="10">
        <v>19</v>
      </c>
      <c r="G95" s="8">
        <v>0.2</v>
      </c>
      <c r="H95" s="12">
        <v>45553</v>
      </c>
      <c r="I95" s="21">
        <v>231.79</v>
      </c>
    </row>
    <row r="96" spans="1:9" ht="15.75" customHeight="1" x14ac:dyDescent="0.25">
      <c r="A96" s="20" t="s">
        <v>75</v>
      </c>
      <c r="B96" s="6" t="s">
        <v>47</v>
      </c>
      <c r="C96" s="6" t="s">
        <v>20</v>
      </c>
      <c r="D96" s="6" t="s">
        <v>12</v>
      </c>
      <c r="E96" s="7">
        <v>966.3</v>
      </c>
      <c r="F96" s="10">
        <v>2</v>
      </c>
      <c r="G96" s="8">
        <v>0.15</v>
      </c>
      <c r="H96" s="12">
        <v>45557</v>
      </c>
      <c r="I96" s="21">
        <v>328.54</v>
      </c>
    </row>
    <row r="97" spans="1:9" ht="15.75" customHeight="1" x14ac:dyDescent="0.25">
      <c r="A97" s="20" t="s">
        <v>68</v>
      </c>
      <c r="B97" s="6" t="s">
        <v>17</v>
      </c>
      <c r="C97" s="6" t="s">
        <v>20</v>
      </c>
      <c r="D97" s="6" t="s">
        <v>12</v>
      </c>
      <c r="E97" s="7">
        <v>917.48</v>
      </c>
      <c r="F97" s="10">
        <v>6</v>
      </c>
      <c r="G97" s="8">
        <v>0</v>
      </c>
      <c r="H97" s="12">
        <v>45558</v>
      </c>
      <c r="I97" s="21">
        <v>366.99</v>
      </c>
    </row>
    <row r="98" spans="1:9" ht="15.75" customHeight="1" x14ac:dyDescent="0.25">
      <c r="A98" s="20" t="s">
        <v>41</v>
      </c>
      <c r="B98" s="6" t="s">
        <v>61</v>
      </c>
      <c r="C98" s="6" t="s">
        <v>11</v>
      </c>
      <c r="D98" s="6" t="s">
        <v>27</v>
      </c>
      <c r="E98" s="7">
        <v>1172.97</v>
      </c>
      <c r="F98" s="10">
        <v>7</v>
      </c>
      <c r="G98" s="8">
        <v>0.15</v>
      </c>
      <c r="H98" s="12">
        <v>45559</v>
      </c>
      <c r="I98" s="21">
        <v>348.96</v>
      </c>
    </row>
    <row r="99" spans="1:9" ht="15.75" customHeight="1" x14ac:dyDescent="0.25">
      <c r="A99" s="20" t="s">
        <v>57</v>
      </c>
      <c r="B99" s="6" t="s">
        <v>23</v>
      </c>
      <c r="C99" s="6" t="s">
        <v>24</v>
      </c>
      <c r="D99" s="6" t="s">
        <v>15</v>
      </c>
      <c r="E99" s="7">
        <v>1205.82</v>
      </c>
      <c r="F99" s="10">
        <v>11</v>
      </c>
      <c r="G99" s="8">
        <v>0.1</v>
      </c>
      <c r="H99" s="12">
        <v>45559</v>
      </c>
      <c r="I99" s="21">
        <v>542.62</v>
      </c>
    </row>
    <row r="100" spans="1:9" ht="15.75" customHeight="1" x14ac:dyDescent="0.25">
      <c r="A100" s="20" t="s">
        <v>16</v>
      </c>
      <c r="B100" s="6" t="s">
        <v>64</v>
      </c>
      <c r="C100" s="6" t="s">
        <v>11</v>
      </c>
      <c r="D100" s="6" t="s">
        <v>39</v>
      </c>
      <c r="E100" s="7">
        <v>826.93</v>
      </c>
      <c r="F100" s="10">
        <v>10</v>
      </c>
      <c r="G100" s="8">
        <v>0.2</v>
      </c>
      <c r="H100" s="12">
        <v>45564</v>
      </c>
      <c r="I100" s="21">
        <v>297.69</v>
      </c>
    </row>
    <row r="101" spans="1:9" ht="15.75" customHeight="1" x14ac:dyDescent="0.25">
      <c r="A101" s="20" t="s">
        <v>67</v>
      </c>
      <c r="B101" s="6" t="s">
        <v>23</v>
      </c>
      <c r="C101" s="6" t="s">
        <v>34</v>
      </c>
      <c r="D101" s="6" t="s">
        <v>15</v>
      </c>
      <c r="E101" s="7">
        <v>902.19</v>
      </c>
      <c r="F101" s="10">
        <v>12</v>
      </c>
      <c r="G101" s="8">
        <v>0</v>
      </c>
      <c r="H101" s="12">
        <v>45564</v>
      </c>
      <c r="I101" s="21">
        <v>451.1</v>
      </c>
    </row>
    <row r="102" spans="1:9" ht="15.75" customHeight="1" x14ac:dyDescent="0.25">
      <c r="A102" s="20" t="s">
        <v>74</v>
      </c>
      <c r="B102" s="6" t="s">
        <v>38</v>
      </c>
      <c r="C102" s="6" t="s">
        <v>24</v>
      </c>
      <c r="D102" s="6" t="s">
        <v>12</v>
      </c>
      <c r="E102" s="7">
        <v>585.97</v>
      </c>
      <c r="F102" s="10">
        <v>17</v>
      </c>
      <c r="G102" s="8">
        <v>0.1</v>
      </c>
      <c r="H102" s="12">
        <v>45565</v>
      </c>
      <c r="I102" s="21">
        <v>210.95</v>
      </c>
    </row>
    <row r="103" spans="1:9" ht="15.75" customHeight="1" x14ac:dyDescent="0.25">
      <c r="A103" s="20" t="s">
        <v>60</v>
      </c>
      <c r="B103" s="6" t="s">
        <v>26</v>
      </c>
      <c r="C103" s="6" t="s">
        <v>24</v>
      </c>
      <c r="D103" s="6" t="s">
        <v>15</v>
      </c>
      <c r="E103" s="7">
        <v>990.19</v>
      </c>
      <c r="F103" s="10">
        <v>8</v>
      </c>
      <c r="G103" s="8">
        <v>0.1</v>
      </c>
      <c r="H103" s="12">
        <v>45565</v>
      </c>
      <c r="I103" s="21">
        <v>445.59</v>
      </c>
    </row>
    <row r="104" spans="1:9" ht="15.75" customHeight="1" x14ac:dyDescent="0.25">
      <c r="A104" s="20" t="s">
        <v>44</v>
      </c>
      <c r="B104" s="6" t="s">
        <v>56</v>
      </c>
      <c r="C104" s="6" t="s">
        <v>34</v>
      </c>
      <c r="D104" s="6" t="s">
        <v>21</v>
      </c>
      <c r="E104" s="7">
        <v>1014.09</v>
      </c>
      <c r="F104" s="10">
        <v>13</v>
      </c>
      <c r="G104" s="8">
        <v>0.2</v>
      </c>
      <c r="H104" s="12">
        <v>45567</v>
      </c>
      <c r="I104" s="21">
        <v>202.82</v>
      </c>
    </row>
    <row r="105" spans="1:9" ht="15.75" customHeight="1" x14ac:dyDescent="0.25">
      <c r="A105" s="20" t="s">
        <v>13</v>
      </c>
      <c r="B105" s="6" t="s">
        <v>48</v>
      </c>
      <c r="C105" s="6" t="s">
        <v>24</v>
      </c>
      <c r="D105" s="6" t="s">
        <v>21</v>
      </c>
      <c r="E105" s="7">
        <v>925.29</v>
      </c>
      <c r="F105" s="10">
        <v>17</v>
      </c>
      <c r="G105" s="8">
        <v>0</v>
      </c>
      <c r="H105" s="12">
        <v>45570</v>
      </c>
      <c r="I105" s="21">
        <v>231.32</v>
      </c>
    </row>
    <row r="106" spans="1:9" ht="15.75" customHeight="1" x14ac:dyDescent="0.25">
      <c r="A106" s="20" t="s">
        <v>54</v>
      </c>
      <c r="B106" s="6" t="s">
        <v>47</v>
      </c>
      <c r="C106" s="6" t="s">
        <v>18</v>
      </c>
      <c r="D106" s="6" t="s">
        <v>27</v>
      </c>
      <c r="E106" s="7">
        <v>1286.54</v>
      </c>
      <c r="F106" s="10">
        <v>8</v>
      </c>
      <c r="G106" s="8">
        <v>0</v>
      </c>
      <c r="H106" s="12">
        <v>45575</v>
      </c>
      <c r="I106" s="21">
        <v>450.29</v>
      </c>
    </row>
    <row r="107" spans="1:9" ht="15.75" customHeight="1" x14ac:dyDescent="0.25">
      <c r="A107" s="20" t="s">
        <v>37</v>
      </c>
      <c r="B107" s="6" t="s">
        <v>64</v>
      </c>
      <c r="C107" s="6" t="s">
        <v>20</v>
      </c>
      <c r="D107" s="6" t="s">
        <v>12</v>
      </c>
      <c r="E107" s="7">
        <v>961.62</v>
      </c>
      <c r="F107" s="10">
        <v>8</v>
      </c>
      <c r="G107" s="8">
        <v>0.2</v>
      </c>
      <c r="H107" s="12">
        <v>45577</v>
      </c>
      <c r="I107" s="21">
        <v>307.72000000000003</v>
      </c>
    </row>
    <row r="108" spans="1:9" ht="15.75" customHeight="1" x14ac:dyDescent="0.25">
      <c r="A108" s="20" t="s">
        <v>44</v>
      </c>
      <c r="B108" s="6" t="s">
        <v>23</v>
      </c>
      <c r="C108" s="6" t="s">
        <v>18</v>
      </c>
      <c r="D108" s="6" t="s">
        <v>12</v>
      </c>
      <c r="E108" s="7">
        <v>1081.1400000000001</v>
      </c>
      <c r="F108" s="10">
        <v>19</v>
      </c>
      <c r="G108" s="8">
        <v>0.15</v>
      </c>
      <c r="H108" s="12">
        <v>45577</v>
      </c>
      <c r="I108" s="21">
        <v>367.59</v>
      </c>
    </row>
    <row r="109" spans="1:9" ht="15.75" customHeight="1" x14ac:dyDescent="0.25">
      <c r="A109" s="20" t="s">
        <v>58</v>
      </c>
      <c r="B109" s="6" t="s">
        <v>23</v>
      </c>
      <c r="C109" s="6" t="s">
        <v>11</v>
      </c>
      <c r="D109" s="6" t="s">
        <v>15</v>
      </c>
      <c r="E109" s="7">
        <v>1923.66</v>
      </c>
      <c r="F109" s="10">
        <v>9</v>
      </c>
      <c r="G109" s="8">
        <v>0.2</v>
      </c>
      <c r="H109" s="12">
        <v>45580</v>
      </c>
      <c r="I109" s="21">
        <v>769.46</v>
      </c>
    </row>
    <row r="110" spans="1:9" ht="15.75" customHeight="1" x14ac:dyDescent="0.25">
      <c r="A110" s="20" t="s">
        <v>54</v>
      </c>
      <c r="B110" s="6" t="s">
        <v>66</v>
      </c>
      <c r="C110" s="6" t="s">
        <v>34</v>
      </c>
      <c r="D110" s="6" t="s">
        <v>15</v>
      </c>
      <c r="E110" s="7">
        <v>728.71</v>
      </c>
      <c r="F110" s="10">
        <v>14</v>
      </c>
      <c r="G110" s="8">
        <v>0.1</v>
      </c>
      <c r="H110" s="12">
        <v>45581</v>
      </c>
      <c r="I110" s="21">
        <v>327.92</v>
      </c>
    </row>
    <row r="111" spans="1:9" ht="15.75" customHeight="1" x14ac:dyDescent="0.25">
      <c r="A111" s="20" t="s">
        <v>9</v>
      </c>
      <c r="B111" s="6" t="s">
        <v>33</v>
      </c>
      <c r="C111" s="6" t="s">
        <v>34</v>
      </c>
      <c r="D111" s="6" t="s">
        <v>15</v>
      </c>
      <c r="E111" s="7">
        <v>1301.8900000000001</v>
      </c>
      <c r="F111" s="10">
        <v>7</v>
      </c>
      <c r="G111" s="8">
        <v>0.15</v>
      </c>
      <c r="H111" s="12">
        <v>45581</v>
      </c>
      <c r="I111" s="21">
        <v>553.29999999999995</v>
      </c>
    </row>
    <row r="112" spans="1:9" ht="15.75" customHeight="1" x14ac:dyDescent="0.25">
      <c r="A112" s="20" t="s">
        <v>70</v>
      </c>
      <c r="B112" s="6" t="s">
        <v>66</v>
      </c>
      <c r="C112" s="6" t="s">
        <v>18</v>
      </c>
      <c r="D112" s="6" t="s">
        <v>12</v>
      </c>
      <c r="E112" s="7">
        <v>980.18</v>
      </c>
      <c r="F112" s="10">
        <v>16</v>
      </c>
      <c r="G112" s="8">
        <v>0.1</v>
      </c>
      <c r="H112" s="12">
        <v>45582</v>
      </c>
      <c r="I112" s="21">
        <v>352.86</v>
      </c>
    </row>
    <row r="113" spans="1:9" ht="15.75" customHeight="1" x14ac:dyDescent="0.25">
      <c r="A113" s="20" t="s">
        <v>74</v>
      </c>
      <c r="B113" s="6" t="s">
        <v>23</v>
      </c>
      <c r="C113" s="6" t="s">
        <v>11</v>
      </c>
      <c r="D113" s="6" t="s">
        <v>15</v>
      </c>
      <c r="E113" s="7">
        <v>697.57</v>
      </c>
      <c r="F113" s="10">
        <v>17</v>
      </c>
      <c r="G113" s="8">
        <v>0.1</v>
      </c>
      <c r="H113" s="12">
        <v>45584</v>
      </c>
      <c r="I113" s="21">
        <v>313.91000000000003</v>
      </c>
    </row>
    <row r="114" spans="1:9" ht="15.75" customHeight="1" x14ac:dyDescent="0.25">
      <c r="A114" s="20" t="s">
        <v>46</v>
      </c>
      <c r="B114" s="6" t="s">
        <v>71</v>
      </c>
      <c r="C114" s="6" t="s">
        <v>11</v>
      </c>
      <c r="D114" s="6" t="s">
        <v>27</v>
      </c>
      <c r="E114" s="7">
        <v>1193.6099999999999</v>
      </c>
      <c r="F114" s="10">
        <v>1</v>
      </c>
      <c r="G114" s="8">
        <v>0.15</v>
      </c>
      <c r="H114" s="12">
        <v>45584</v>
      </c>
      <c r="I114" s="21">
        <v>355.1</v>
      </c>
    </row>
    <row r="115" spans="1:9" ht="15.75" customHeight="1" x14ac:dyDescent="0.25">
      <c r="A115" s="20" t="s">
        <v>32</v>
      </c>
      <c r="B115" s="6" t="s">
        <v>38</v>
      </c>
      <c r="C115" s="6" t="s">
        <v>20</v>
      </c>
      <c r="D115" s="6" t="s">
        <v>21</v>
      </c>
      <c r="E115" s="7">
        <v>771.02</v>
      </c>
      <c r="F115" s="10">
        <v>1</v>
      </c>
      <c r="G115" s="8">
        <v>0</v>
      </c>
      <c r="H115" s="12">
        <v>45585</v>
      </c>
      <c r="I115" s="21">
        <v>192.76</v>
      </c>
    </row>
    <row r="116" spans="1:9" ht="15.75" customHeight="1" x14ac:dyDescent="0.25">
      <c r="A116" s="20" t="s">
        <v>67</v>
      </c>
      <c r="B116" s="6" t="s">
        <v>69</v>
      </c>
      <c r="C116" s="6" t="s">
        <v>24</v>
      </c>
      <c r="D116" s="6" t="s">
        <v>15</v>
      </c>
      <c r="E116" s="7">
        <v>661.09</v>
      </c>
      <c r="F116" s="10">
        <v>1</v>
      </c>
      <c r="G116" s="8">
        <v>0.2</v>
      </c>
      <c r="H116" s="12">
        <v>45593</v>
      </c>
      <c r="I116" s="21">
        <v>264.44</v>
      </c>
    </row>
    <row r="117" spans="1:9" ht="15.75" customHeight="1" x14ac:dyDescent="0.25">
      <c r="A117" s="20" t="s">
        <v>13</v>
      </c>
      <c r="B117" s="6" t="s">
        <v>55</v>
      </c>
      <c r="C117" s="6" t="s">
        <v>11</v>
      </c>
      <c r="D117" s="6" t="s">
        <v>21</v>
      </c>
      <c r="E117" s="7">
        <v>688.83</v>
      </c>
      <c r="F117" s="10">
        <v>15</v>
      </c>
      <c r="G117" s="8">
        <v>0</v>
      </c>
      <c r="H117" s="12">
        <v>45595</v>
      </c>
      <c r="I117" s="21">
        <v>172.21</v>
      </c>
    </row>
    <row r="118" spans="1:9" ht="15.75" customHeight="1" x14ac:dyDescent="0.25">
      <c r="A118" s="20" t="s">
        <v>73</v>
      </c>
      <c r="B118" s="6" t="s">
        <v>29</v>
      </c>
      <c r="C118" s="6" t="s">
        <v>34</v>
      </c>
      <c r="D118" s="6" t="s">
        <v>12</v>
      </c>
      <c r="E118" s="7">
        <v>1249.0999999999999</v>
      </c>
      <c r="F118" s="10">
        <v>4</v>
      </c>
      <c r="G118" s="8">
        <v>0.05</v>
      </c>
      <c r="H118" s="12">
        <v>45597</v>
      </c>
      <c r="I118" s="21">
        <v>474.66</v>
      </c>
    </row>
    <row r="119" spans="1:9" ht="15.75" customHeight="1" x14ac:dyDescent="0.25">
      <c r="A119" s="20" t="s">
        <v>44</v>
      </c>
      <c r="B119" s="6" t="s">
        <v>23</v>
      </c>
      <c r="C119" s="6" t="s">
        <v>18</v>
      </c>
      <c r="D119" s="6" t="s">
        <v>39</v>
      </c>
      <c r="E119" s="7">
        <v>1014.22</v>
      </c>
      <c r="F119" s="10">
        <v>14</v>
      </c>
      <c r="G119" s="8">
        <v>0.05</v>
      </c>
      <c r="H119" s="12">
        <v>45599</v>
      </c>
      <c r="I119" s="21">
        <v>433.58</v>
      </c>
    </row>
    <row r="120" spans="1:9" ht="15.75" customHeight="1" x14ac:dyDescent="0.25">
      <c r="A120" s="20" t="s">
        <v>54</v>
      </c>
      <c r="B120" s="6" t="s">
        <v>48</v>
      </c>
      <c r="C120" s="6" t="s">
        <v>18</v>
      </c>
      <c r="D120" s="6" t="s">
        <v>12</v>
      </c>
      <c r="E120" s="7">
        <v>1010.58</v>
      </c>
      <c r="F120" s="10">
        <v>2</v>
      </c>
      <c r="G120" s="8">
        <v>0.15</v>
      </c>
      <c r="H120" s="12">
        <v>45605</v>
      </c>
      <c r="I120" s="21">
        <v>343.6</v>
      </c>
    </row>
    <row r="121" spans="1:9" ht="15.75" customHeight="1" x14ac:dyDescent="0.25">
      <c r="A121" s="20" t="s">
        <v>30</v>
      </c>
      <c r="B121" s="6" t="s">
        <v>59</v>
      </c>
      <c r="C121" s="6" t="s">
        <v>24</v>
      </c>
      <c r="D121" s="6" t="s">
        <v>27</v>
      </c>
      <c r="E121" s="7">
        <v>957.29</v>
      </c>
      <c r="F121" s="10">
        <v>4</v>
      </c>
      <c r="G121" s="8">
        <v>0.05</v>
      </c>
      <c r="H121" s="12">
        <v>45605</v>
      </c>
      <c r="I121" s="21">
        <v>318.3</v>
      </c>
    </row>
    <row r="122" spans="1:9" ht="15.75" customHeight="1" x14ac:dyDescent="0.25">
      <c r="A122" s="20" t="s">
        <v>28</v>
      </c>
      <c r="B122" s="6" t="s">
        <v>45</v>
      </c>
      <c r="C122" s="6" t="s">
        <v>24</v>
      </c>
      <c r="D122" s="6" t="s">
        <v>27</v>
      </c>
      <c r="E122" s="7">
        <v>1077.92</v>
      </c>
      <c r="F122" s="10">
        <v>3</v>
      </c>
      <c r="G122" s="8">
        <v>0.05</v>
      </c>
      <c r="H122" s="12">
        <v>45608</v>
      </c>
      <c r="I122" s="21">
        <v>358.41</v>
      </c>
    </row>
    <row r="123" spans="1:9" ht="15.75" customHeight="1" x14ac:dyDescent="0.25">
      <c r="A123" s="20" t="s">
        <v>52</v>
      </c>
      <c r="B123" s="6" t="s">
        <v>50</v>
      </c>
      <c r="C123" s="6" t="s">
        <v>20</v>
      </c>
      <c r="D123" s="6" t="s">
        <v>15</v>
      </c>
      <c r="E123" s="7">
        <v>1163.01</v>
      </c>
      <c r="F123" s="10">
        <v>5</v>
      </c>
      <c r="G123" s="8">
        <v>0</v>
      </c>
      <c r="H123" s="12">
        <v>45611</v>
      </c>
      <c r="I123" s="21">
        <v>581.5</v>
      </c>
    </row>
    <row r="124" spans="1:9" ht="15.75" customHeight="1" x14ac:dyDescent="0.25">
      <c r="A124" s="20" t="s">
        <v>54</v>
      </c>
      <c r="B124" s="6" t="s">
        <v>45</v>
      </c>
      <c r="C124" s="6" t="s">
        <v>18</v>
      </c>
      <c r="D124" s="6" t="s">
        <v>39</v>
      </c>
      <c r="E124" s="7">
        <v>1014.56</v>
      </c>
      <c r="F124" s="10">
        <v>10</v>
      </c>
      <c r="G124" s="8">
        <v>0.1</v>
      </c>
      <c r="H124" s="12">
        <v>45612</v>
      </c>
      <c r="I124" s="21">
        <v>410.9</v>
      </c>
    </row>
    <row r="125" spans="1:9" ht="15.75" customHeight="1" x14ac:dyDescent="0.25">
      <c r="A125" s="20" t="s">
        <v>9</v>
      </c>
      <c r="B125" s="6" t="s">
        <v>17</v>
      </c>
      <c r="C125" s="6" t="s">
        <v>20</v>
      </c>
      <c r="D125" s="6" t="s">
        <v>21</v>
      </c>
      <c r="E125" s="7">
        <v>718.04</v>
      </c>
      <c r="F125" s="10">
        <v>14</v>
      </c>
      <c r="G125" s="8">
        <v>0</v>
      </c>
      <c r="H125" s="12">
        <v>45613</v>
      </c>
      <c r="I125" s="21">
        <v>179.51</v>
      </c>
    </row>
    <row r="126" spans="1:9" ht="15.75" customHeight="1" x14ac:dyDescent="0.25">
      <c r="A126" s="20" t="s">
        <v>72</v>
      </c>
      <c r="B126" s="6" t="s">
        <v>17</v>
      </c>
      <c r="C126" s="6" t="s">
        <v>34</v>
      </c>
      <c r="D126" s="6" t="s">
        <v>15</v>
      </c>
      <c r="E126" s="7">
        <v>1277.8499999999999</v>
      </c>
      <c r="F126" s="10">
        <v>18</v>
      </c>
      <c r="G126" s="8">
        <v>0.2</v>
      </c>
      <c r="H126" s="12">
        <v>45613</v>
      </c>
      <c r="I126" s="21">
        <v>511.14</v>
      </c>
    </row>
    <row r="127" spans="1:9" ht="15.75" customHeight="1" x14ac:dyDescent="0.25">
      <c r="A127" s="20" t="s">
        <v>70</v>
      </c>
      <c r="B127" s="6" t="s">
        <v>23</v>
      </c>
      <c r="C127" s="6" t="s">
        <v>24</v>
      </c>
      <c r="D127" s="6" t="s">
        <v>21</v>
      </c>
      <c r="E127" s="7">
        <v>706.73</v>
      </c>
      <c r="F127" s="10">
        <v>1</v>
      </c>
      <c r="G127" s="8">
        <v>0.15</v>
      </c>
      <c r="H127" s="12">
        <v>45613</v>
      </c>
      <c r="I127" s="21">
        <v>150.18</v>
      </c>
    </row>
    <row r="128" spans="1:9" ht="15.75" customHeight="1" x14ac:dyDescent="0.25">
      <c r="A128" s="20" t="s">
        <v>65</v>
      </c>
      <c r="B128" s="6" t="s">
        <v>50</v>
      </c>
      <c r="C128" s="6" t="s">
        <v>18</v>
      </c>
      <c r="D128" s="6" t="s">
        <v>21</v>
      </c>
      <c r="E128" s="7">
        <v>1410.59</v>
      </c>
      <c r="F128" s="10">
        <v>15</v>
      </c>
      <c r="G128" s="8">
        <v>0</v>
      </c>
      <c r="H128" s="12">
        <v>45615</v>
      </c>
      <c r="I128" s="21">
        <v>352.65</v>
      </c>
    </row>
    <row r="129" spans="1:9" ht="15.75" customHeight="1" x14ac:dyDescent="0.25">
      <c r="A129" s="20" t="s">
        <v>32</v>
      </c>
      <c r="B129" s="6" t="s">
        <v>61</v>
      </c>
      <c r="C129" s="6" t="s">
        <v>20</v>
      </c>
      <c r="D129" s="6" t="s">
        <v>27</v>
      </c>
      <c r="E129" s="7">
        <v>1350.33</v>
      </c>
      <c r="F129" s="10">
        <v>10</v>
      </c>
      <c r="G129" s="8">
        <v>0</v>
      </c>
      <c r="H129" s="12">
        <v>45615</v>
      </c>
      <c r="I129" s="21">
        <v>472.62</v>
      </c>
    </row>
    <row r="130" spans="1:9" ht="15.75" customHeight="1" x14ac:dyDescent="0.25">
      <c r="A130" s="20" t="s">
        <v>41</v>
      </c>
      <c r="B130" s="6" t="s">
        <v>45</v>
      </c>
      <c r="C130" s="6" t="s">
        <v>18</v>
      </c>
      <c r="D130" s="6" t="s">
        <v>21</v>
      </c>
      <c r="E130" s="7">
        <v>919.18</v>
      </c>
      <c r="F130" s="10">
        <v>4</v>
      </c>
      <c r="G130" s="8">
        <v>0.15</v>
      </c>
      <c r="H130" s="12">
        <v>45615</v>
      </c>
      <c r="I130" s="21">
        <v>195.33</v>
      </c>
    </row>
    <row r="131" spans="1:9" ht="15.75" customHeight="1" x14ac:dyDescent="0.25">
      <c r="A131" s="20" t="s">
        <v>74</v>
      </c>
      <c r="B131" s="6" t="s">
        <v>23</v>
      </c>
      <c r="C131" s="6" t="s">
        <v>11</v>
      </c>
      <c r="D131" s="6" t="s">
        <v>21</v>
      </c>
      <c r="E131" s="7">
        <v>258.51</v>
      </c>
      <c r="F131" s="10">
        <v>19</v>
      </c>
      <c r="G131" s="8">
        <v>0</v>
      </c>
      <c r="H131" s="12">
        <v>45616</v>
      </c>
      <c r="I131" s="21">
        <v>64.63</v>
      </c>
    </row>
    <row r="132" spans="1:9" ht="15.75" customHeight="1" x14ac:dyDescent="0.25">
      <c r="A132" s="20" t="s">
        <v>63</v>
      </c>
      <c r="B132" s="6" t="s">
        <v>61</v>
      </c>
      <c r="C132" s="6" t="s">
        <v>18</v>
      </c>
      <c r="D132" s="6" t="s">
        <v>12</v>
      </c>
      <c r="E132" s="7">
        <v>1213.48</v>
      </c>
      <c r="F132" s="10">
        <v>5</v>
      </c>
      <c r="G132" s="8">
        <v>0.05</v>
      </c>
      <c r="H132" s="12">
        <v>45616</v>
      </c>
      <c r="I132" s="21">
        <v>461.12</v>
      </c>
    </row>
    <row r="133" spans="1:9" ht="15.75" customHeight="1" x14ac:dyDescent="0.25">
      <c r="A133" s="20" t="s">
        <v>57</v>
      </c>
      <c r="B133" s="6" t="s">
        <v>38</v>
      </c>
      <c r="C133" s="6" t="s">
        <v>34</v>
      </c>
      <c r="D133" s="6" t="s">
        <v>12</v>
      </c>
      <c r="E133" s="7">
        <v>1150.28</v>
      </c>
      <c r="F133" s="10">
        <v>8</v>
      </c>
      <c r="G133" s="8">
        <v>0.05</v>
      </c>
      <c r="H133" s="12">
        <v>45622</v>
      </c>
      <c r="I133" s="21">
        <v>437.11</v>
      </c>
    </row>
    <row r="134" spans="1:9" ht="15.75" customHeight="1" x14ac:dyDescent="0.25">
      <c r="A134" s="20" t="s">
        <v>37</v>
      </c>
      <c r="B134" s="6" t="s">
        <v>71</v>
      </c>
      <c r="C134" s="6" t="s">
        <v>20</v>
      </c>
      <c r="D134" s="6" t="s">
        <v>27</v>
      </c>
      <c r="E134" s="7">
        <v>853.86</v>
      </c>
      <c r="F134" s="10">
        <v>8</v>
      </c>
      <c r="G134" s="8">
        <v>0.1</v>
      </c>
      <c r="H134" s="12">
        <v>45622</v>
      </c>
      <c r="I134" s="21">
        <v>268.97000000000003</v>
      </c>
    </row>
    <row r="135" spans="1:9" ht="15.75" customHeight="1" x14ac:dyDescent="0.25">
      <c r="A135" s="20" t="s">
        <v>75</v>
      </c>
      <c r="B135" s="6" t="s">
        <v>45</v>
      </c>
      <c r="C135" s="6" t="s">
        <v>20</v>
      </c>
      <c r="D135" s="6" t="s">
        <v>21</v>
      </c>
      <c r="E135" s="7">
        <v>1061.04</v>
      </c>
      <c r="F135" s="10">
        <v>1</v>
      </c>
      <c r="G135" s="8">
        <v>0</v>
      </c>
      <c r="H135" s="12">
        <v>45624</v>
      </c>
      <c r="I135" s="21">
        <v>265.26</v>
      </c>
    </row>
    <row r="136" spans="1:9" ht="15.75" customHeight="1" x14ac:dyDescent="0.25">
      <c r="A136" s="20" t="s">
        <v>28</v>
      </c>
      <c r="B136" s="6" t="s">
        <v>43</v>
      </c>
      <c r="C136" s="6" t="s">
        <v>11</v>
      </c>
      <c r="D136" s="6" t="s">
        <v>21</v>
      </c>
      <c r="E136" s="7">
        <v>894.55</v>
      </c>
      <c r="F136" s="10">
        <v>19</v>
      </c>
      <c r="G136" s="8">
        <v>0.2</v>
      </c>
      <c r="H136" s="12">
        <v>45625</v>
      </c>
      <c r="I136" s="21">
        <v>178.91</v>
      </c>
    </row>
    <row r="137" spans="1:9" ht="15.75" customHeight="1" x14ac:dyDescent="0.25">
      <c r="A137" s="20" t="s">
        <v>25</v>
      </c>
      <c r="B137" s="6" t="s">
        <v>38</v>
      </c>
      <c r="C137" s="6" t="s">
        <v>24</v>
      </c>
      <c r="D137" s="6" t="s">
        <v>39</v>
      </c>
      <c r="E137" s="7">
        <v>833.91</v>
      </c>
      <c r="F137" s="10">
        <v>3</v>
      </c>
      <c r="G137" s="8">
        <v>0.05</v>
      </c>
      <c r="H137" s="12">
        <v>45626</v>
      </c>
      <c r="I137" s="21">
        <v>356.5</v>
      </c>
    </row>
    <row r="138" spans="1:9" ht="15.75" customHeight="1" x14ac:dyDescent="0.25">
      <c r="A138" s="20" t="s">
        <v>58</v>
      </c>
      <c r="B138" s="6" t="s">
        <v>71</v>
      </c>
      <c r="C138" s="6" t="s">
        <v>11</v>
      </c>
      <c r="D138" s="6" t="s">
        <v>27</v>
      </c>
      <c r="E138" s="7">
        <v>820.19</v>
      </c>
      <c r="F138" s="10">
        <v>4</v>
      </c>
      <c r="G138" s="8">
        <v>0.2</v>
      </c>
      <c r="H138" s="12">
        <v>45630</v>
      </c>
      <c r="I138" s="21">
        <v>229.65</v>
      </c>
    </row>
    <row r="139" spans="1:9" ht="15.75" customHeight="1" x14ac:dyDescent="0.25">
      <c r="A139" s="20" t="s">
        <v>58</v>
      </c>
      <c r="B139" s="6" t="s">
        <v>38</v>
      </c>
      <c r="C139" s="6" t="s">
        <v>34</v>
      </c>
      <c r="D139" s="6" t="s">
        <v>21</v>
      </c>
      <c r="E139" s="7">
        <v>511.74</v>
      </c>
      <c r="F139" s="10">
        <v>8</v>
      </c>
      <c r="G139" s="8">
        <v>0.05</v>
      </c>
      <c r="H139" s="12">
        <v>45631</v>
      </c>
      <c r="I139" s="21">
        <v>121.54</v>
      </c>
    </row>
    <row r="140" spans="1:9" ht="15.75" customHeight="1" x14ac:dyDescent="0.25">
      <c r="A140" s="20" t="s">
        <v>65</v>
      </c>
      <c r="B140" s="6" t="s">
        <v>61</v>
      </c>
      <c r="C140" s="6" t="s">
        <v>20</v>
      </c>
      <c r="D140" s="6" t="s">
        <v>27</v>
      </c>
      <c r="E140" s="7">
        <v>806.03</v>
      </c>
      <c r="F140" s="10">
        <v>19</v>
      </c>
      <c r="G140" s="8">
        <v>0.05</v>
      </c>
      <c r="H140" s="12">
        <v>45638</v>
      </c>
      <c r="I140" s="21">
        <v>268</v>
      </c>
    </row>
    <row r="141" spans="1:9" ht="15.75" customHeight="1" x14ac:dyDescent="0.25">
      <c r="A141" s="20" t="s">
        <v>28</v>
      </c>
      <c r="B141" s="6" t="s">
        <v>26</v>
      </c>
      <c r="C141" s="6" t="s">
        <v>34</v>
      </c>
      <c r="D141" s="6" t="s">
        <v>27</v>
      </c>
      <c r="E141" s="7">
        <v>1432.47</v>
      </c>
      <c r="F141" s="10">
        <v>16</v>
      </c>
      <c r="G141" s="8">
        <v>0.15</v>
      </c>
      <c r="H141" s="12">
        <v>45640</v>
      </c>
      <c r="I141" s="21">
        <v>426.16</v>
      </c>
    </row>
    <row r="142" spans="1:9" ht="15.75" customHeight="1" x14ac:dyDescent="0.25">
      <c r="A142" s="20" t="s">
        <v>74</v>
      </c>
      <c r="B142" s="6" t="s">
        <v>29</v>
      </c>
      <c r="C142" s="6" t="s">
        <v>34</v>
      </c>
      <c r="D142" s="6" t="s">
        <v>21</v>
      </c>
      <c r="E142" s="7">
        <v>1488.58</v>
      </c>
      <c r="F142" s="10">
        <v>10</v>
      </c>
      <c r="G142" s="8">
        <v>0.15</v>
      </c>
      <c r="H142" s="12">
        <v>45640</v>
      </c>
      <c r="I142" s="21">
        <v>316.32</v>
      </c>
    </row>
    <row r="143" spans="1:9" ht="15.75" customHeight="1" x14ac:dyDescent="0.25">
      <c r="A143" s="20" t="s">
        <v>30</v>
      </c>
      <c r="B143" s="6" t="s">
        <v>66</v>
      </c>
      <c r="C143" s="6" t="s">
        <v>18</v>
      </c>
      <c r="D143" s="6" t="s">
        <v>12</v>
      </c>
      <c r="E143" s="7">
        <v>1231.26</v>
      </c>
      <c r="F143" s="10">
        <v>9</v>
      </c>
      <c r="G143" s="8">
        <v>0</v>
      </c>
      <c r="H143" s="12">
        <v>45646</v>
      </c>
      <c r="I143" s="21">
        <v>492.5</v>
      </c>
    </row>
    <row r="144" spans="1:9" ht="15.75" customHeight="1" x14ac:dyDescent="0.25">
      <c r="A144" s="20" t="s">
        <v>30</v>
      </c>
      <c r="B144" s="6" t="s">
        <v>43</v>
      </c>
      <c r="C144" s="6" t="s">
        <v>11</v>
      </c>
      <c r="D144" s="6" t="s">
        <v>21</v>
      </c>
      <c r="E144" s="7">
        <v>1161.67</v>
      </c>
      <c r="F144" s="10">
        <v>19</v>
      </c>
      <c r="G144" s="8">
        <v>0.2</v>
      </c>
      <c r="H144" s="12">
        <v>45647</v>
      </c>
      <c r="I144" s="21">
        <v>232.33</v>
      </c>
    </row>
    <row r="145" spans="1:9" ht="15.75" customHeight="1" x14ac:dyDescent="0.25">
      <c r="A145" s="20" t="s">
        <v>49</v>
      </c>
      <c r="B145" s="6" t="s">
        <v>45</v>
      </c>
      <c r="C145" s="6" t="s">
        <v>34</v>
      </c>
      <c r="D145" s="6" t="s">
        <v>39</v>
      </c>
      <c r="E145" s="7">
        <v>388.23</v>
      </c>
      <c r="F145" s="10">
        <v>16</v>
      </c>
      <c r="G145" s="8">
        <v>0.05</v>
      </c>
      <c r="H145" s="12">
        <v>45650</v>
      </c>
      <c r="I145" s="21">
        <v>165.97</v>
      </c>
    </row>
    <row r="146" spans="1:9" ht="15.75" customHeight="1" x14ac:dyDescent="0.25">
      <c r="A146" s="20" t="s">
        <v>72</v>
      </c>
      <c r="B146" s="6" t="s">
        <v>31</v>
      </c>
      <c r="C146" s="6" t="s">
        <v>24</v>
      </c>
      <c r="D146" s="6" t="s">
        <v>15</v>
      </c>
      <c r="E146" s="7">
        <v>1589.42</v>
      </c>
      <c r="F146" s="10">
        <v>6</v>
      </c>
      <c r="G146" s="8">
        <v>0.15</v>
      </c>
      <c r="H146" s="12">
        <v>45651</v>
      </c>
      <c r="I146" s="21">
        <v>675.5</v>
      </c>
    </row>
    <row r="147" spans="1:9" ht="15.75" customHeight="1" x14ac:dyDescent="0.25">
      <c r="A147" s="20" t="s">
        <v>28</v>
      </c>
      <c r="B147" s="6" t="s">
        <v>71</v>
      </c>
      <c r="C147" s="6" t="s">
        <v>24</v>
      </c>
      <c r="D147" s="6" t="s">
        <v>15</v>
      </c>
      <c r="E147" s="7">
        <v>336.66</v>
      </c>
      <c r="F147" s="10">
        <v>13</v>
      </c>
      <c r="G147" s="8">
        <v>0.2</v>
      </c>
      <c r="H147" s="12">
        <v>45651</v>
      </c>
      <c r="I147" s="21">
        <v>134.66</v>
      </c>
    </row>
    <row r="148" spans="1:9" ht="15.75" customHeight="1" x14ac:dyDescent="0.25">
      <c r="A148" s="20" t="s">
        <v>49</v>
      </c>
      <c r="B148" s="6" t="s">
        <v>23</v>
      </c>
      <c r="C148" s="6" t="s">
        <v>11</v>
      </c>
      <c r="D148" s="6" t="s">
        <v>12</v>
      </c>
      <c r="E148" s="7">
        <v>1353.79</v>
      </c>
      <c r="F148" s="10">
        <v>14</v>
      </c>
      <c r="G148" s="8">
        <v>0.1</v>
      </c>
      <c r="H148" s="12">
        <v>45656</v>
      </c>
      <c r="I148" s="21">
        <v>487.36</v>
      </c>
    </row>
    <row r="149" spans="1:9" ht="15.75" customHeight="1" x14ac:dyDescent="0.25">
      <c r="A149" s="20" t="s">
        <v>63</v>
      </c>
      <c r="B149" s="6" t="s">
        <v>69</v>
      </c>
      <c r="C149" s="6" t="s">
        <v>34</v>
      </c>
      <c r="D149" s="6" t="s">
        <v>15</v>
      </c>
      <c r="E149" s="7">
        <v>662.61</v>
      </c>
      <c r="F149" s="10">
        <v>11</v>
      </c>
      <c r="G149" s="8">
        <v>0.05</v>
      </c>
      <c r="H149" s="12">
        <v>45658</v>
      </c>
      <c r="I149" s="21">
        <v>314.74</v>
      </c>
    </row>
    <row r="150" spans="1:9" ht="15.75" customHeight="1" x14ac:dyDescent="0.25">
      <c r="A150" s="20" t="s">
        <v>52</v>
      </c>
      <c r="B150" s="6" t="s">
        <v>48</v>
      </c>
      <c r="C150" s="6" t="s">
        <v>24</v>
      </c>
      <c r="D150" s="6" t="s">
        <v>39</v>
      </c>
      <c r="E150" s="7">
        <v>309.42</v>
      </c>
      <c r="F150" s="10">
        <v>1</v>
      </c>
      <c r="G150" s="8">
        <v>0.2</v>
      </c>
      <c r="H150" s="12">
        <v>45658</v>
      </c>
      <c r="I150" s="21">
        <v>111.39</v>
      </c>
    </row>
    <row r="151" spans="1:9" ht="15.75" customHeight="1" x14ac:dyDescent="0.25">
      <c r="A151" s="20" t="s">
        <v>63</v>
      </c>
      <c r="B151" s="6" t="s">
        <v>29</v>
      </c>
      <c r="C151" s="6" t="s">
        <v>24</v>
      </c>
      <c r="D151" s="6" t="s">
        <v>12</v>
      </c>
      <c r="E151" s="7">
        <v>884.63</v>
      </c>
      <c r="F151" s="10">
        <v>18</v>
      </c>
      <c r="G151" s="8">
        <v>0.1</v>
      </c>
      <c r="H151" s="12">
        <v>45659</v>
      </c>
      <c r="I151" s="21">
        <v>318.47000000000003</v>
      </c>
    </row>
    <row r="152" spans="1:9" ht="15.75" customHeight="1" x14ac:dyDescent="0.25">
      <c r="A152" s="20" t="s">
        <v>52</v>
      </c>
      <c r="B152" s="6" t="s">
        <v>23</v>
      </c>
      <c r="C152" s="6" t="s">
        <v>34</v>
      </c>
      <c r="D152" s="6" t="s">
        <v>39</v>
      </c>
      <c r="E152" s="7">
        <v>745.05</v>
      </c>
      <c r="F152" s="10">
        <v>10</v>
      </c>
      <c r="G152" s="8">
        <v>0.1</v>
      </c>
      <c r="H152" s="12">
        <v>45660</v>
      </c>
      <c r="I152" s="21">
        <v>301.75</v>
      </c>
    </row>
    <row r="153" spans="1:9" ht="15.75" customHeight="1" x14ac:dyDescent="0.25">
      <c r="A153" s="20" t="s">
        <v>60</v>
      </c>
      <c r="B153" s="6" t="s">
        <v>17</v>
      </c>
      <c r="C153" s="6" t="s">
        <v>20</v>
      </c>
      <c r="D153" s="6" t="s">
        <v>15</v>
      </c>
      <c r="E153" s="7">
        <v>870.23</v>
      </c>
      <c r="F153" s="10">
        <v>5</v>
      </c>
      <c r="G153" s="8">
        <v>0.05</v>
      </c>
      <c r="H153" s="12">
        <v>45660</v>
      </c>
      <c r="I153" s="21">
        <v>413.36</v>
      </c>
    </row>
    <row r="154" spans="1:9" ht="15.75" customHeight="1" x14ac:dyDescent="0.25">
      <c r="A154" s="20" t="s">
        <v>35</v>
      </c>
      <c r="B154" s="6" t="s">
        <v>29</v>
      </c>
      <c r="C154" s="6" t="s">
        <v>11</v>
      </c>
      <c r="D154" s="6" t="s">
        <v>27</v>
      </c>
      <c r="E154" s="7">
        <v>862.19</v>
      </c>
      <c r="F154" s="10">
        <v>18</v>
      </c>
      <c r="G154" s="8">
        <v>0.05</v>
      </c>
      <c r="H154" s="12">
        <v>45663</v>
      </c>
      <c r="I154" s="21">
        <v>286.68</v>
      </c>
    </row>
    <row r="155" spans="1:9" ht="15.75" customHeight="1" x14ac:dyDescent="0.25">
      <c r="A155" s="20" t="s">
        <v>73</v>
      </c>
      <c r="B155" s="6" t="s">
        <v>59</v>
      </c>
      <c r="C155" s="6" t="s">
        <v>24</v>
      </c>
      <c r="D155" s="6" t="s">
        <v>15</v>
      </c>
      <c r="E155" s="7">
        <v>1171.18</v>
      </c>
      <c r="F155" s="10">
        <v>19</v>
      </c>
      <c r="G155" s="8">
        <v>0.05</v>
      </c>
      <c r="H155" s="12">
        <v>45667</v>
      </c>
      <c r="I155" s="21">
        <v>556.30999999999995</v>
      </c>
    </row>
    <row r="156" spans="1:9" ht="15.75" customHeight="1" x14ac:dyDescent="0.25">
      <c r="A156" s="20" t="s">
        <v>58</v>
      </c>
      <c r="B156" s="6" t="s">
        <v>14</v>
      </c>
      <c r="C156" s="6" t="s">
        <v>20</v>
      </c>
      <c r="D156" s="6" t="s">
        <v>27</v>
      </c>
      <c r="E156" s="7">
        <v>1054.56</v>
      </c>
      <c r="F156" s="10">
        <v>11</v>
      </c>
      <c r="G156" s="8">
        <v>0.1</v>
      </c>
      <c r="H156" s="12">
        <v>45669</v>
      </c>
      <c r="I156" s="21">
        <v>332.19</v>
      </c>
    </row>
    <row r="157" spans="1:9" ht="15.75" customHeight="1" x14ac:dyDescent="0.25">
      <c r="A157" s="20" t="s">
        <v>58</v>
      </c>
      <c r="B157" s="6" t="s">
        <v>23</v>
      </c>
      <c r="C157" s="6" t="s">
        <v>24</v>
      </c>
      <c r="D157" s="6" t="s">
        <v>21</v>
      </c>
      <c r="E157" s="7">
        <v>1681.21</v>
      </c>
      <c r="F157" s="10">
        <v>5</v>
      </c>
      <c r="G157" s="8">
        <v>0.2</v>
      </c>
      <c r="H157" s="12">
        <v>45670</v>
      </c>
      <c r="I157" s="21">
        <v>336.24</v>
      </c>
    </row>
    <row r="158" spans="1:9" ht="15.75" customHeight="1" x14ac:dyDescent="0.25">
      <c r="A158" s="20" t="s">
        <v>58</v>
      </c>
      <c r="B158" s="6" t="s">
        <v>36</v>
      </c>
      <c r="C158" s="6" t="s">
        <v>11</v>
      </c>
      <c r="D158" s="6" t="s">
        <v>15</v>
      </c>
      <c r="E158" s="7">
        <v>379.77</v>
      </c>
      <c r="F158" s="10">
        <v>9</v>
      </c>
      <c r="G158" s="8">
        <v>0.05</v>
      </c>
      <c r="H158" s="12">
        <v>45673</v>
      </c>
      <c r="I158" s="21">
        <v>180.39</v>
      </c>
    </row>
    <row r="159" spans="1:9" ht="15.75" customHeight="1" x14ac:dyDescent="0.25">
      <c r="A159" s="20" t="s">
        <v>44</v>
      </c>
      <c r="B159" s="6" t="s">
        <v>45</v>
      </c>
      <c r="C159" s="6" t="s">
        <v>34</v>
      </c>
      <c r="D159" s="6" t="s">
        <v>15</v>
      </c>
      <c r="E159" s="7">
        <v>1076.33</v>
      </c>
      <c r="F159" s="10">
        <v>2</v>
      </c>
      <c r="G159" s="8">
        <v>0.1</v>
      </c>
      <c r="H159" s="12">
        <v>45674</v>
      </c>
      <c r="I159" s="21">
        <v>484.35</v>
      </c>
    </row>
    <row r="160" spans="1:9" ht="15.75" customHeight="1" x14ac:dyDescent="0.25">
      <c r="A160" s="20" t="s">
        <v>44</v>
      </c>
      <c r="B160" s="6" t="s">
        <v>31</v>
      </c>
      <c r="C160" s="6" t="s">
        <v>34</v>
      </c>
      <c r="D160" s="6" t="s">
        <v>39</v>
      </c>
      <c r="E160" s="7">
        <v>1250.71</v>
      </c>
      <c r="F160" s="10">
        <v>7</v>
      </c>
      <c r="G160" s="8">
        <v>0</v>
      </c>
      <c r="H160" s="12">
        <v>45674</v>
      </c>
      <c r="I160" s="21">
        <v>562.82000000000005</v>
      </c>
    </row>
    <row r="161" spans="1:9" ht="15.75" customHeight="1" x14ac:dyDescent="0.25">
      <c r="A161" s="20" t="s">
        <v>40</v>
      </c>
      <c r="B161" s="6" t="s">
        <v>17</v>
      </c>
      <c r="C161" s="6" t="s">
        <v>20</v>
      </c>
      <c r="D161" s="6" t="s">
        <v>15</v>
      </c>
      <c r="E161" s="7">
        <v>1118.3399999999999</v>
      </c>
      <c r="F161" s="10">
        <v>6</v>
      </c>
      <c r="G161" s="8">
        <v>0.2</v>
      </c>
      <c r="H161" s="12">
        <v>45674</v>
      </c>
      <c r="I161" s="21">
        <v>447.34</v>
      </c>
    </row>
    <row r="162" spans="1:9" ht="15.75" customHeight="1" x14ac:dyDescent="0.25">
      <c r="A162" s="20" t="s">
        <v>70</v>
      </c>
      <c r="B162" s="6" t="s">
        <v>53</v>
      </c>
      <c r="C162" s="6" t="s">
        <v>24</v>
      </c>
      <c r="D162" s="6" t="s">
        <v>15</v>
      </c>
      <c r="E162" s="7">
        <v>1622.62</v>
      </c>
      <c r="F162" s="10">
        <v>12</v>
      </c>
      <c r="G162" s="8">
        <v>0.2</v>
      </c>
      <c r="H162" s="12">
        <v>45677</v>
      </c>
      <c r="I162" s="21">
        <v>649.04999999999995</v>
      </c>
    </row>
    <row r="163" spans="1:9" ht="15.75" customHeight="1" x14ac:dyDescent="0.25">
      <c r="A163" s="20" t="s">
        <v>75</v>
      </c>
      <c r="B163" s="6" t="s">
        <v>48</v>
      </c>
      <c r="C163" s="6" t="s">
        <v>24</v>
      </c>
      <c r="D163" s="6" t="s">
        <v>12</v>
      </c>
      <c r="E163" s="7">
        <v>640.64</v>
      </c>
      <c r="F163" s="10">
        <v>11</v>
      </c>
      <c r="G163" s="8">
        <v>0.2</v>
      </c>
      <c r="H163" s="12">
        <v>45678</v>
      </c>
      <c r="I163" s="21">
        <v>205</v>
      </c>
    </row>
    <row r="164" spans="1:9" ht="15.75" customHeight="1" x14ac:dyDescent="0.25">
      <c r="A164" s="20" t="s">
        <v>22</v>
      </c>
      <c r="B164" s="6" t="s">
        <v>43</v>
      </c>
      <c r="C164" s="6" t="s">
        <v>11</v>
      </c>
      <c r="D164" s="6" t="s">
        <v>15</v>
      </c>
      <c r="E164" s="7">
        <v>585.16</v>
      </c>
      <c r="F164" s="10">
        <v>17</v>
      </c>
      <c r="G164" s="8">
        <v>0.1</v>
      </c>
      <c r="H164" s="12">
        <v>45684</v>
      </c>
      <c r="I164" s="21">
        <v>263.32</v>
      </c>
    </row>
    <row r="165" spans="1:9" ht="15.75" customHeight="1" x14ac:dyDescent="0.25">
      <c r="A165" s="20" t="s">
        <v>22</v>
      </c>
      <c r="B165" s="6" t="s">
        <v>31</v>
      </c>
      <c r="C165" s="6" t="s">
        <v>18</v>
      </c>
      <c r="D165" s="6" t="s">
        <v>15</v>
      </c>
      <c r="E165" s="7">
        <v>1109.98</v>
      </c>
      <c r="F165" s="10">
        <v>5</v>
      </c>
      <c r="G165" s="8">
        <v>0.2</v>
      </c>
      <c r="H165" s="12">
        <v>45690</v>
      </c>
      <c r="I165" s="21">
        <v>443.99</v>
      </c>
    </row>
    <row r="166" spans="1:9" ht="15.75" customHeight="1" x14ac:dyDescent="0.25">
      <c r="A166" s="20" t="s">
        <v>58</v>
      </c>
      <c r="B166" s="6" t="s">
        <v>45</v>
      </c>
      <c r="C166" s="6" t="s">
        <v>18</v>
      </c>
      <c r="D166" s="6" t="s">
        <v>12</v>
      </c>
      <c r="E166" s="7">
        <v>1098.08</v>
      </c>
      <c r="F166" s="10">
        <v>9</v>
      </c>
      <c r="G166" s="8">
        <v>0.1</v>
      </c>
      <c r="H166" s="12">
        <v>45692</v>
      </c>
      <c r="I166" s="21">
        <v>395.31</v>
      </c>
    </row>
    <row r="167" spans="1:9" ht="15.75" customHeight="1" x14ac:dyDescent="0.25">
      <c r="A167" s="20" t="s">
        <v>65</v>
      </c>
      <c r="B167" s="6" t="s">
        <v>48</v>
      </c>
      <c r="C167" s="6" t="s">
        <v>11</v>
      </c>
      <c r="D167" s="6" t="s">
        <v>39</v>
      </c>
      <c r="E167" s="7">
        <v>827.25</v>
      </c>
      <c r="F167" s="10">
        <v>7</v>
      </c>
      <c r="G167" s="8">
        <v>0.1</v>
      </c>
      <c r="H167" s="12">
        <v>45693</v>
      </c>
      <c r="I167" s="21">
        <v>335.04</v>
      </c>
    </row>
    <row r="168" spans="1:9" ht="15.75" customHeight="1" x14ac:dyDescent="0.25">
      <c r="A168" s="20" t="s">
        <v>70</v>
      </c>
      <c r="B168" s="6" t="s">
        <v>29</v>
      </c>
      <c r="C168" s="6" t="s">
        <v>34</v>
      </c>
      <c r="D168" s="6" t="s">
        <v>15</v>
      </c>
      <c r="E168" s="7">
        <v>741.88</v>
      </c>
      <c r="F168" s="10">
        <v>16</v>
      </c>
      <c r="G168" s="8">
        <v>0.1</v>
      </c>
      <c r="H168" s="12">
        <v>45695</v>
      </c>
      <c r="I168" s="21">
        <v>333.85</v>
      </c>
    </row>
    <row r="169" spans="1:9" ht="15.75" customHeight="1" x14ac:dyDescent="0.25">
      <c r="A169" s="20" t="s">
        <v>72</v>
      </c>
      <c r="B169" s="6" t="s">
        <v>10</v>
      </c>
      <c r="C169" s="6" t="s">
        <v>18</v>
      </c>
      <c r="D169" s="6" t="s">
        <v>39</v>
      </c>
      <c r="E169" s="7">
        <v>1311.26</v>
      </c>
      <c r="F169" s="10">
        <v>6</v>
      </c>
      <c r="G169" s="8">
        <v>0.1</v>
      </c>
      <c r="H169" s="12">
        <v>45698</v>
      </c>
      <c r="I169" s="21">
        <v>531.05999999999995</v>
      </c>
    </row>
    <row r="170" spans="1:9" ht="15.75" customHeight="1" x14ac:dyDescent="0.25">
      <c r="A170" s="20" t="s">
        <v>72</v>
      </c>
      <c r="B170" s="6" t="s">
        <v>31</v>
      </c>
      <c r="C170" s="6" t="s">
        <v>20</v>
      </c>
      <c r="D170" s="6" t="s">
        <v>39</v>
      </c>
      <c r="E170" s="7">
        <v>573.32000000000005</v>
      </c>
      <c r="F170" s="10">
        <v>19</v>
      </c>
      <c r="G170" s="8">
        <v>0.1</v>
      </c>
      <c r="H170" s="12">
        <v>45703</v>
      </c>
      <c r="I170" s="21">
        <v>232.19</v>
      </c>
    </row>
    <row r="171" spans="1:9" ht="15.75" customHeight="1" x14ac:dyDescent="0.25">
      <c r="A171" s="20" t="s">
        <v>52</v>
      </c>
      <c r="B171" s="6" t="s">
        <v>23</v>
      </c>
      <c r="C171" s="6" t="s">
        <v>11</v>
      </c>
      <c r="D171" s="6" t="s">
        <v>21</v>
      </c>
      <c r="E171" s="7">
        <v>1115.22</v>
      </c>
      <c r="F171" s="10">
        <v>14</v>
      </c>
      <c r="G171" s="8">
        <v>0.2</v>
      </c>
      <c r="H171" s="12">
        <v>45705</v>
      </c>
      <c r="I171" s="21">
        <v>223.04</v>
      </c>
    </row>
    <row r="172" spans="1:9" ht="15.75" customHeight="1" x14ac:dyDescent="0.25">
      <c r="A172" s="20" t="s">
        <v>13</v>
      </c>
      <c r="B172" s="6" t="s">
        <v>45</v>
      </c>
      <c r="C172" s="6" t="s">
        <v>24</v>
      </c>
      <c r="D172" s="6" t="s">
        <v>15</v>
      </c>
      <c r="E172" s="7">
        <v>845.84</v>
      </c>
      <c r="F172" s="10">
        <v>4</v>
      </c>
      <c r="G172" s="8">
        <v>0</v>
      </c>
      <c r="H172" s="12">
        <v>45707</v>
      </c>
      <c r="I172" s="21">
        <v>422.92</v>
      </c>
    </row>
    <row r="173" spans="1:9" ht="15.75" customHeight="1" x14ac:dyDescent="0.25">
      <c r="A173" s="20" t="s">
        <v>30</v>
      </c>
      <c r="B173" s="6" t="s">
        <v>55</v>
      </c>
      <c r="C173" s="6" t="s">
        <v>11</v>
      </c>
      <c r="D173" s="6" t="s">
        <v>21</v>
      </c>
      <c r="E173" s="7">
        <v>1029.8</v>
      </c>
      <c r="F173" s="10">
        <v>3</v>
      </c>
      <c r="G173" s="8">
        <v>0</v>
      </c>
      <c r="H173" s="12">
        <v>45708</v>
      </c>
      <c r="I173" s="21">
        <v>257.45</v>
      </c>
    </row>
    <row r="174" spans="1:9" ht="15.75" customHeight="1" x14ac:dyDescent="0.25">
      <c r="A174" s="20" t="s">
        <v>32</v>
      </c>
      <c r="B174" s="6" t="s">
        <v>31</v>
      </c>
      <c r="C174" s="6" t="s">
        <v>24</v>
      </c>
      <c r="D174" s="6" t="s">
        <v>12</v>
      </c>
      <c r="E174" s="7">
        <v>1189.83</v>
      </c>
      <c r="F174" s="10">
        <v>2</v>
      </c>
      <c r="G174" s="8">
        <v>0.2</v>
      </c>
      <c r="H174" s="12">
        <v>45709</v>
      </c>
      <c r="I174" s="21">
        <v>380.75</v>
      </c>
    </row>
    <row r="175" spans="1:9" ht="15.75" customHeight="1" x14ac:dyDescent="0.25">
      <c r="A175" s="20" t="s">
        <v>67</v>
      </c>
      <c r="B175" s="6" t="s">
        <v>43</v>
      </c>
      <c r="C175" s="6" t="s">
        <v>20</v>
      </c>
      <c r="D175" s="6" t="s">
        <v>12</v>
      </c>
      <c r="E175" s="7">
        <v>704.28</v>
      </c>
      <c r="F175" s="10">
        <v>15</v>
      </c>
      <c r="G175" s="8">
        <v>0.2</v>
      </c>
      <c r="H175" s="12">
        <v>45712</v>
      </c>
      <c r="I175" s="21">
        <v>225.37</v>
      </c>
    </row>
    <row r="176" spans="1:9" ht="15.75" customHeight="1" x14ac:dyDescent="0.25">
      <c r="A176" s="20" t="s">
        <v>65</v>
      </c>
      <c r="B176" s="6" t="s">
        <v>47</v>
      </c>
      <c r="C176" s="6" t="s">
        <v>34</v>
      </c>
      <c r="D176" s="6" t="s">
        <v>39</v>
      </c>
      <c r="E176" s="7">
        <v>1618.22</v>
      </c>
      <c r="F176" s="10">
        <v>12</v>
      </c>
      <c r="G176" s="8">
        <v>0.2</v>
      </c>
      <c r="H176" s="12">
        <v>45712</v>
      </c>
      <c r="I176" s="21">
        <v>582.55999999999995</v>
      </c>
    </row>
    <row r="177" spans="1:9" ht="15.75" customHeight="1" x14ac:dyDescent="0.25">
      <c r="A177" s="20" t="s">
        <v>73</v>
      </c>
      <c r="B177" s="6" t="s">
        <v>53</v>
      </c>
      <c r="C177" s="6" t="s">
        <v>34</v>
      </c>
      <c r="D177" s="6" t="s">
        <v>12</v>
      </c>
      <c r="E177" s="7">
        <v>1014.43</v>
      </c>
      <c r="F177" s="10">
        <v>2</v>
      </c>
      <c r="G177" s="8">
        <v>0.15</v>
      </c>
      <c r="H177" s="12">
        <v>45713</v>
      </c>
      <c r="I177" s="21">
        <v>344.91</v>
      </c>
    </row>
    <row r="178" spans="1:9" ht="15.75" customHeight="1" x14ac:dyDescent="0.25">
      <c r="A178" s="20" t="s">
        <v>75</v>
      </c>
      <c r="B178" s="6" t="s">
        <v>31</v>
      </c>
      <c r="C178" s="6" t="s">
        <v>34</v>
      </c>
      <c r="D178" s="6" t="s">
        <v>15</v>
      </c>
      <c r="E178" s="7">
        <v>826.97</v>
      </c>
      <c r="F178" s="10">
        <v>18</v>
      </c>
      <c r="G178" s="8">
        <v>0.2</v>
      </c>
      <c r="H178" s="12">
        <v>45715</v>
      </c>
      <c r="I178" s="21">
        <v>330.79</v>
      </c>
    </row>
    <row r="179" spans="1:9" ht="15.75" customHeight="1" x14ac:dyDescent="0.25">
      <c r="A179" s="20" t="s">
        <v>16</v>
      </c>
      <c r="B179" s="6" t="s">
        <v>31</v>
      </c>
      <c r="C179" s="6" t="s">
        <v>34</v>
      </c>
      <c r="D179" s="6" t="s">
        <v>15</v>
      </c>
      <c r="E179" s="7">
        <v>1022.23</v>
      </c>
      <c r="F179" s="10">
        <v>8</v>
      </c>
      <c r="G179" s="8">
        <v>0.1</v>
      </c>
      <c r="H179" s="12">
        <v>45717</v>
      </c>
      <c r="I179" s="21">
        <v>460</v>
      </c>
    </row>
    <row r="180" spans="1:9" ht="15.75" customHeight="1" x14ac:dyDescent="0.25">
      <c r="A180" s="20" t="s">
        <v>72</v>
      </c>
      <c r="B180" s="6" t="s">
        <v>29</v>
      </c>
      <c r="C180" s="6" t="s">
        <v>18</v>
      </c>
      <c r="D180" s="6" t="s">
        <v>12</v>
      </c>
      <c r="E180" s="7">
        <v>1099.69</v>
      </c>
      <c r="F180" s="10">
        <v>6</v>
      </c>
      <c r="G180" s="8">
        <v>0</v>
      </c>
      <c r="H180" s="12">
        <v>45718</v>
      </c>
      <c r="I180" s="21">
        <v>439.88</v>
      </c>
    </row>
    <row r="181" spans="1:9" ht="15.75" customHeight="1" x14ac:dyDescent="0.25">
      <c r="A181" s="20" t="s">
        <v>52</v>
      </c>
      <c r="B181" s="6" t="s">
        <v>64</v>
      </c>
      <c r="C181" s="6" t="s">
        <v>24</v>
      </c>
      <c r="D181" s="6" t="s">
        <v>12</v>
      </c>
      <c r="E181" s="7">
        <v>710.52</v>
      </c>
      <c r="F181" s="10">
        <v>8</v>
      </c>
      <c r="G181" s="8">
        <v>0.1</v>
      </c>
      <c r="H181" s="12">
        <v>45721</v>
      </c>
      <c r="I181" s="21">
        <v>255.79</v>
      </c>
    </row>
    <row r="182" spans="1:9" ht="15.75" customHeight="1" x14ac:dyDescent="0.25">
      <c r="A182" s="20" t="s">
        <v>52</v>
      </c>
      <c r="B182" s="6" t="s">
        <v>59</v>
      </c>
      <c r="C182" s="6" t="s">
        <v>24</v>
      </c>
      <c r="D182" s="6" t="s">
        <v>12</v>
      </c>
      <c r="E182" s="7">
        <v>499.18</v>
      </c>
      <c r="F182" s="10">
        <v>15</v>
      </c>
      <c r="G182" s="8">
        <v>0.2</v>
      </c>
      <c r="H182" s="12">
        <v>45724</v>
      </c>
      <c r="I182" s="21">
        <v>159.74</v>
      </c>
    </row>
    <row r="183" spans="1:9" ht="15.75" customHeight="1" x14ac:dyDescent="0.25">
      <c r="A183" s="20" t="s">
        <v>37</v>
      </c>
      <c r="B183" s="6" t="s">
        <v>38</v>
      </c>
      <c r="C183" s="6" t="s">
        <v>20</v>
      </c>
      <c r="D183" s="6" t="s">
        <v>12</v>
      </c>
      <c r="E183" s="7">
        <v>1064.19</v>
      </c>
      <c r="F183" s="10">
        <v>18</v>
      </c>
      <c r="G183" s="8">
        <v>0.05</v>
      </c>
      <c r="H183" s="12">
        <v>45725</v>
      </c>
      <c r="I183" s="21">
        <v>404.39</v>
      </c>
    </row>
    <row r="184" spans="1:9" ht="15.75" customHeight="1" x14ac:dyDescent="0.25">
      <c r="A184" s="20" t="s">
        <v>67</v>
      </c>
      <c r="B184" s="6" t="s">
        <v>38</v>
      </c>
      <c r="C184" s="6" t="s">
        <v>18</v>
      </c>
      <c r="D184" s="6" t="s">
        <v>39</v>
      </c>
      <c r="E184" s="7">
        <v>438.76</v>
      </c>
      <c r="F184" s="10">
        <v>18</v>
      </c>
      <c r="G184" s="8">
        <v>0.05</v>
      </c>
      <c r="H184" s="12">
        <v>45726</v>
      </c>
      <c r="I184" s="21">
        <v>187.57</v>
      </c>
    </row>
    <row r="185" spans="1:9" ht="15.75" customHeight="1" x14ac:dyDescent="0.25">
      <c r="A185" s="20" t="s">
        <v>41</v>
      </c>
      <c r="B185" s="6" t="s">
        <v>55</v>
      </c>
      <c r="C185" s="6" t="s">
        <v>11</v>
      </c>
      <c r="D185" s="6" t="s">
        <v>15</v>
      </c>
      <c r="E185" s="7">
        <v>864.98</v>
      </c>
      <c r="F185" s="10">
        <v>2</v>
      </c>
      <c r="G185" s="8">
        <v>0.05</v>
      </c>
      <c r="H185" s="12">
        <v>45727</v>
      </c>
      <c r="I185" s="21">
        <v>410.87</v>
      </c>
    </row>
    <row r="186" spans="1:9" ht="15.75" customHeight="1" x14ac:dyDescent="0.25">
      <c r="A186" s="20" t="s">
        <v>57</v>
      </c>
      <c r="B186" s="6" t="s">
        <v>55</v>
      </c>
      <c r="C186" s="6" t="s">
        <v>11</v>
      </c>
      <c r="D186" s="6" t="s">
        <v>27</v>
      </c>
      <c r="E186" s="7">
        <v>984.93</v>
      </c>
      <c r="F186" s="10">
        <v>14</v>
      </c>
      <c r="G186" s="8">
        <v>0.2</v>
      </c>
      <c r="H186" s="12">
        <v>45733</v>
      </c>
      <c r="I186" s="21">
        <v>275.77999999999997</v>
      </c>
    </row>
    <row r="187" spans="1:9" ht="15.75" customHeight="1" x14ac:dyDescent="0.25">
      <c r="A187" s="20" t="s">
        <v>25</v>
      </c>
      <c r="B187" s="6" t="s">
        <v>55</v>
      </c>
      <c r="C187" s="6" t="s">
        <v>11</v>
      </c>
      <c r="D187" s="6" t="s">
        <v>15</v>
      </c>
      <c r="E187" s="7">
        <v>1493.49</v>
      </c>
      <c r="F187" s="10">
        <v>18</v>
      </c>
      <c r="G187" s="8">
        <v>0</v>
      </c>
      <c r="H187" s="12">
        <v>45734</v>
      </c>
      <c r="I187" s="21">
        <v>746.74</v>
      </c>
    </row>
    <row r="188" spans="1:9" ht="15.75" customHeight="1" x14ac:dyDescent="0.25">
      <c r="A188" s="20" t="s">
        <v>32</v>
      </c>
      <c r="B188" s="6" t="s">
        <v>53</v>
      </c>
      <c r="C188" s="6" t="s">
        <v>20</v>
      </c>
      <c r="D188" s="6" t="s">
        <v>15</v>
      </c>
      <c r="E188" s="7">
        <v>689.43</v>
      </c>
      <c r="F188" s="10">
        <v>9</v>
      </c>
      <c r="G188" s="8">
        <v>0.1</v>
      </c>
      <c r="H188" s="12">
        <v>45736</v>
      </c>
      <c r="I188" s="21">
        <v>310.24</v>
      </c>
    </row>
    <row r="189" spans="1:9" ht="15.75" customHeight="1" x14ac:dyDescent="0.25">
      <c r="A189" s="20" t="s">
        <v>40</v>
      </c>
      <c r="B189" s="6" t="s">
        <v>59</v>
      </c>
      <c r="C189" s="6" t="s">
        <v>20</v>
      </c>
      <c r="D189" s="6" t="s">
        <v>15</v>
      </c>
      <c r="E189" s="7">
        <v>682.24</v>
      </c>
      <c r="F189" s="10">
        <v>1</v>
      </c>
      <c r="G189" s="8">
        <v>0</v>
      </c>
      <c r="H189" s="12">
        <v>45738</v>
      </c>
      <c r="I189" s="21">
        <v>341.12</v>
      </c>
    </row>
    <row r="190" spans="1:9" ht="15.75" customHeight="1" x14ac:dyDescent="0.25">
      <c r="A190" s="20" t="s">
        <v>41</v>
      </c>
      <c r="B190" s="6" t="s">
        <v>26</v>
      </c>
      <c r="C190" s="6" t="s">
        <v>24</v>
      </c>
      <c r="D190" s="6" t="s">
        <v>21</v>
      </c>
      <c r="E190" s="7">
        <v>458.54</v>
      </c>
      <c r="F190" s="10">
        <v>15</v>
      </c>
      <c r="G190" s="8">
        <v>0.2</v>
      </c>
      <c r="H190" s="12">
        <v>45741</v>
      </c>
      <c r="I190" s="21">
        <v>91.71</v>
      </c>
    </row>
    <row r="191" spans="1:9" ht="15.75" customHeight="1" x14ac:dyDescent="0.25">
      <c r="A191" s="20" t="s">
        <v>32</v>
      </c>
      <c r="B191" s="6" t="s">
        <v>26</v>
      </c>
      <c r="C191" s="6" t="s">
        <v>20</v>
      </c>
      <c r="D191" s="6" t="s">
        <v>27</v>
      </c>
      <c r="E191" s="7">
        <v>1184.25</v>
      </c>
      <c r="F191" s="10">
        <v>11</v>
      </c>
      <c r="G191" s="8">
        <v>0.2</v>
      </c>
      <c r="H191" s="12">
        <v>45742</v>
      </c>
      <c r="I191" s="21">
        <v>331.59</v>
      </c>
    </row>
    <row r="192" spans="1:9" ht="15.75" customHeight="1" x14ac:dyDescent="0.25">
      <c r="A192" s="20" t="s">
        <v>25</v>
      </c>
      <c r="B192" s="6" t="s">
        <v>10</v>
      </c>
      <c r="C192" s="6" t="s">
        <v>20</v>
      </c>
      <c r="D192" s="6" t="s">
        <v>15</v>
      </c>
      <c r="E192" s="7">
        <v>762.14</v>
      </c>
      <c r="F192" s="10">
        <v>9</v>
      </c>
      <c r="G192" s="8">
        <v>0</v>
      </c>
      <c r="H192" s="12">
        <v>45743</v>
      </c>
      <c r="I192" s="21">
        <v>381.07</v>
      </c>
    </row>
    <row r="193" spans="1:9" ht="15.75" customHeight="1" x14ac:dyDescent="0.25">
      <c r="A193" s="20" t="s">
        <v>22</v>
      </c>
      <c r="B193" s="6" t="s">
        <v>53</v>
      </c>
      <c r="C193" s="6" t="s">
        <v>24</v>
      </c>
      <c r="D193" s="6" t="s">
        <v>12</v>
      </c>
      <c r="E193" s="7">
        <v>750.71</v>
      </c>
      <c r="F193" s="10">
        <v>10</v>
      </c>
      <c r="G193" s="8">
        <v>0.15</v>
      </c>
      <c r="H193" s="12">
        <v>45743</v>
      </c>
      <c r="I193" s="21">
        <v>255.24</v>
      </c>
    </row>
    <row r="194" spans="1:9" ht="15.75" customHeight="1" x14ac:dyDescent="0.25">
      <c r="A194" s="20" t="s">
        <v>75</v>
      </c>
      <c r="B194" s="6" t="s">
        <v>71</v>
      </c>
      <c r="C194" s="6" t="s">
        <v>34</v>
      </c>
      <c r="D194" s="6" t="s">
        <v>15</v>
      </c>
      <c r="E194" s="7">
        <v>1456.94</v>
      </c>
      <c r="F194" s="10">
        <v>14</v>
      </c>
      <c r="G194" s="8">
        <v>0.05</v>
      </c>
      <c r="H194" s="12">
        <v>45745</v>
      </c>
      <c r="I194" s="21">
        <v>692.05</v>
      </c>
    </row>
    <row r="195" spans="1:9" ht="15.75" customHeight="1" x14ac:dyDescent="0.25">
      <c r="A195" s="20" t="s">
        <v>44</v>
      </c>
      <c r="B195" s="6" t="s">
        <v>61</v>
      </c>
      <c r="C195" s="6" t="s">
        <v>18</v>
      </c>
      <c r="D195" s="6" t="s">
        <v>27</v>
      </c>
      <c r="E195" s="7">
        <v>1093.3800000000001</v>
      </c>
      <c r="F195" s="10">
        <v>17</v>
      </c>
      <c r="G195" s="8">
        <v>0.1</v>
      </c>
      <c r="H195" s="12">
        <v>45745</v>
      </c>
      <c r="I195" s="21">
        <v>344.41</v>
      </c>
    </row>
    <row r="196" spans="1:9" ht="15.75" customHeight="1" x14ac:dyDescent="0.25">
      <c r="A196" s="20" t="s">
        <v>37</v>
      </c>
      <c r="B196" s="6" t="s">
        <v>43</v>
      </c>
      <c r="C196" s="6" t="s">
        <v>11</v>
      </c>
      <c r="D196" s="6" t="s">
        <v>15</v>
      </c>
      <c r="E196" s="7">
        <v>934.27</v>
      </c>
      <c r="F196" s="10">
        <v>8</v>
      </c>
      <c r="G196" s="8">
        <v>0.15</v>
      </c>
      <c r="H196" s="12">
        <v>45746</v>
      </c>
      <c r="I196" s="21">
        <v>397.06</v>
      </c>
    </row>
    <row r="197" spans="1:9" ht="15.75" customHeight="1" x14ac:dyDescent="0.25">
      <c r="A197" s="20" t="s">
        <v>70</v>
      </c>
      <c r="B197" s="6" t="s">
        <v>36</v>
      </c>
      <c r="C197" s="6" t="s">
        <v>34</v>
      </c>
      <c r="D197" s="6" t="s">
        <v>15</v>
      </c>
      <c r="E197" s="7">
        <v>1465.35</v>
      </c>
      <c r="F197" s="10">
        <v>8</v>
      </c>
      <c r="G197" s="8">
        <v>0.2</v>
      </c>
      <c r="H197" s="12">
        <v>45746</v>
      </c>
      <c r="I197" s="21">
        <v>586.14</v>
      </c>
    </row>
    <row r="198" spans="1:9" ht="15.75" customHeight="1" x14ac:dyDescent="0.25">
      <c r="A198" s="20" t="s">
        <v>52</v>
      </c>
      <c r="B198" s="6" t="s">
        <v>14</v>
      </c>
      <c r="C198" s="6" t="s">
        <v>20</v>
      </c>
      <c r="D198" s="6" t="s">
        <v>39</v>
      </c>
      <c r="E198" s="7">
        <v>740.8</v>
      </c>
      <c r="F198" s="10">
        <v>3</v>
      </c>
      <c r="G198" s="8">
        <v>0</v>
      </c>
      <c r="H198" s="12">
        <v>45749</v>
      </c>
      <c r="I198" s="21">
        <v>333.36</v>
      </c>
    </row>
    <row r="199" spans="1:9" ht="15.75" customHeight="1" x14ac:dyDescent="0.25">
      <c r="A199" s="20" t="s">
        <v>58</v>
      </c>
      <c r="B199" s="6" t="s">
        <v>43</v>
      </c>
      <c r="C199" s="6" t="s">
        <v>11</v>
      </c>
      <c r="D199" s="6" t="s">
        <v>39</v>
      </c>
      <c r="E199" s="7">
        <v>545.44000000000005</v>
      </c>
      <c r="F199" s="10">
        <v>17</v>
      </c>
      <c r="G199" s="8">
        <v>0</v>
      </c>
      <c r="H199" s="12">
        <v>45752</v>
      </c>
      <c r="I199" s="21">
        <v>245.45</v>
      </c>
    </row>
    <row r="200" spans="1:9" ht="15.75" customHeight="1" x14ac:dyDescent="0.25">
      <c r="A200" s="20" t="s">
        <v>35</v>
      </c>
      <c r="B200" s="6" t="s">
        <v>36</v>
      </c>
      <c r="C200" s="6" t="s">
        <v>18</v>
      </c>
      <c r="D200" s="6" t="s">
        <v>12</v>
      </c>
      <c r="E200" s="7">
        <v>997.61</v>
      </c>
      <c r="F200" s="10">
        <v>8</v>
      </c>
      <c r="G200" s="8">
        <v>0.05</v>
      </c>
      <c r="H200" s="12">
        <v>45752</v>
      </c>
      <c r="I200" s="21">
        <v>379.09</v>
      </c>
    </row>
    <row r="201" spans="1:9" ht="15.75" customHeight="1" x14ac:dyDescent="0.25">
      <c r="A201" s="29" t="s">
        <v>60</v>
      </c>
      <c r="B201" s="30" t="s">
        <v>36</v>
      </c>
      <c r="C201" s="30" t="s">
        <v>20</v>
      </c>
      <c r="D201" s="30" t="s">
        <v>15</v>
      </c>
      <c r="E201" s="31">
        <v>928.32</v>
      </c>
      <c r="F201" s="32">
        <v>2</v>
      </c>
      <c r="G201" s="33">
        <v>0.05</v>
      </c>
      <c r="H201" s="34">
        <v>45754</v>
      </c>
      <c r="I201" s="35">
        <v>440.95</v>
      </c>
    </row>
    <row r="202" spans="1:9" ht="15.75" customHeight="1" x14ac:dyDescent="0.25"/>
    <row r="203" spans="1:9" ht="15.75" customHeight="1" x14ac:dyDescent="0.25"/>
    <row r="204" spans="1:9" ht="15.75" customHeight="1" x14ac:dyDescent="0.25"/>
    <row r="205" spans="1:9" ht="15.75" customHeight="1" x14ac:dyDescent="0.25"/>
    <row r="206" spans="1:9" ht="15.75" customHeight="1" x14ac:dyDescent="0.25"/>
    <row r="207" spans="1:9" ht="15.75" customHeight="1" x14ac:dyDescent="0.25"/>
    <row r="208" spans="1:9"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F5262-7919-4F41-84A2-8771D5422270}">
  <dimension ref="A1:C201"/>
  <sheetViews>
    <sheetView view="pageBreakPreview" zoomScale="60" zoomScaleNormal="100" workbookViewId="0">
      <selection sqref="A1:C1"/>
    </sheetView>
  </sheetViews>
  <sheetFormatPr defaultRowHeight="14.4" x14ac:dyDescent="0.25"/>
  <cols>
    <col min="1" max="1" width="17.296875" customWidth="1"/>
    <col min="2" max="2" width="27.59765625" customWidth="1"/>
    <col min="3" max="3" width="14.8984375" style="3" customWidth="1"/>
  </cols>
  <sheetData>
    <row r="1" spans="1:3" x14ac:dyDescent="0.3">
      <c r="A1" s="4" t="s">
        <v>0</v>
      </c>
      <c r="B1" s="4" t="s">
        <v>1</v>
      </c>
      <c r="C1" s="5" t="s">
        <v>4</v>
      </c>
    </row>
    <row r="2" spans="1:3" ht="13.8" x14ac:dyDescent="0.25">
      <c r="A2" s="15" t="s">
        <v>58</v>
      </c>
      <c r="B2" s="15" t="s">
        <v>23</v>
      </c>
      <c r="C2" s="16">
        <v>1923.66</v>
      </c>
    </row>
    <row r="3" spans="1:3" ht="13.8" x14ac:dyDescent="0.25">
      <c r="A3" s="15" t="s">
        <v>58</v>
      </c>
      <c r="B3" s="15" t="s">
        <v>23</v>
      </c>
      <c r="C3" s="16">
        <v>1681.21</v>
      </c>
    </row>
    <row r="4" spans="1:3" ht="13.8" x14ac:dyDescent="0.25">
      <c r="A4" s="15" t="s">
        <v>70</v>
      </c>
      <c r="B4" s="15" t="s">
        <v>53</v>
      </c>
      <c r="C4" s="16">
        <v>1622.62</v>
      </c>
    </row>
    <row r="5" spans="1:3" ht="13.8" x14ac:dyDescent="0.25">
      <c r="A5" s="15" t="s">
        <v>65</v>
      </c>
      <c r="B5" s="15" t="s">
        <v>47</v>
      </c>
      <c r="C5" s="16">
        <v>1618.22</v>
      </c>
    </row>
    <row r="6" spans="1:3" ht="13.8" x14ac:dyDescent="0.25">
      <c r="A6" s="15" t="s">
        <v>72</v>
      </c>
      <c r="B6" s="15" t="s">
        <v>31</v>
      </c>
      <c r="C6" s="16">
        <v>1589.42</v>
      </c>
    </row>
    <row r="7" spans="1:3" ht="13.8" x14ac:dyDescent="0.25">
      <c r="A7" s="15" t="s">
        <v>37</v>
      </c>
      <c r="B7" s="15" t="s">
        <v>38</v>
      </c>
      <c r="C7" s="16">
        <v>1572.82</v>
      </c>
    </row>
    <row r="8" spans="1:3" ht="13.8" x14ac:dyDescent="0.25">
      <c r="A8" s="15" t="s">
        <v>70</v>
      </c>
      <c r="B8" s="15" t="s">
        <v>38</v>
      </c>
      <c r="C8" s="16">
        <v>1526.6</v>
      </c>
    </row>
    <row r="9" spans="1:3" ht="13.8" x14ac:dyDescent="0.25">
      <c r="A9" s="15" t="s">
        <v>46</v>
      </c>
      <c r="B9" s="15" t="s">
        <v>47</v>
      </c>
      <c r="C9" s="16">
        <v>1506.14</v>
      </c>
    </row>
    <row r="10" spans="1:3" ht="13.8" x14ac:dyDescent="0.25">
      <c r="A10" s="15" t="s">
        <v>19</v>
      </c>
      <c r="B10" s="15" t="s">
        <v>43</v>
      </c>
      <c r="C10" s="16">
        <v>1502.93</v>
      </c>
    </row>
    <row r="11" spans="1:3" ht="13.8" x14ac:dyDescent="0.25">
      <c r="A11" s="15" t="s">
        <v>25</v>
      </c>
      <c r="B11" s="15" t="s">
        <v>55</v>
      </c>
      <c r="C11" s="16">
        <v>1493.49</v>
      </c>
    </row>
    <row r="12" spans="1:3" ht="13.8" x14ac:dyDescent="0.25">
      <c r="A12" s="6" t="s">
        <v>74</v>
      </c>
      <c r="B12" s="6" t="s">
        <v>29</v>
      </c>
      <c r="C12" s="14">
        <v>1488.58</v>
      </c>
    </row>
    <row r="13" spans="1:3" ht="13.8" x14ac:dyDescent="0.25">
      <c r="A13" s="6" t="s">
        <v>70</v>
      </c>
      <c r="B13" s="6" t="s">
        <v>36</v>
      </c>
      <c r="C13" s="14">
        <v>1465.35</v>
      </c>
    </row>
    <row r="14" spans="1:3" ht="13.8" x14ac:dyDescent="0.25">
      <c r="A14" s="6" t="s">
        <v>75</v>
      </c>
      <c r="B14" s="6" t="s">
        <v>71</v>
      </c>
      <c r="C14" s="14">
        <v>1456.94</v>
      </c>
    </row>
    <row r="15" spans="1:3" ht="13.8" x14ac:dyDescent="0.25">
      <c r="A15" s="6" t="s">
        <v>54</v>
      </c>
      <c r="B15" s="6" t="s">
        <v>55</v>
      </c>
      <c r="C15" s="14">
        <v>1450.71</v>
      </c>
    </row>
    <row r="16" spans="1:3" ht="13.8" x14ac:dyDescent="0.25">
      <c r="A16" s="6" t="s">
        <v>72</v>
      </c>
      <c r="B16" s="6" t="s">
        <v>64</v>
      </c>
      <c r="C16" s="14">
        <v>1443.98</v>
      </c>
    </row>
    <row r="17" spans="1:3" ht="13.8" x14ac:dyDescent="0.25">
      <c r="A17" s="6" t="s">
        <v>28</v>
      </c>
      <c r="B17" s="6" t="s">
        <v>26</v>
      </c>
      <c r="C17" s="14">
        <v>1432.47</v>
      </c>
    </row>
    <row r="18" spans="1:3" ht="13.8" x14ac:dyDescent="0.25">
      <c r="A18" s="6" t="s">
        <v>65</v>
      </c>
      <c r="B18" s="6" t="s">
        <v>50</v>
      </c>
      <c r="C18" s="14">
        <v>1410.59</v>
      </c>
    </row>
    <row r="19" spans="1:3" ht="13.8" x14ac:dyDescent="0.25">
      <c r="A19" s="6" t="s">
        <v>52</v>
      </c>
      <c r="B19" s="6" t="s">
        <v>48</v>
      </c>
      <c r="C19" s="14">
        <v>1410.06</v>
      </c>
    </row>
    <row r="20" spans="1:3" ht="13.8" x14ac:dyDescent="0.25">
      <c r="A20" s="6" t="s">
        <v>57</v>
      </c>
      <c r="B20" s="6" t="s">
        <v>31</v>
      </c>
      <c r="C20" s="14">
        <v>1383.3</v>
      </c>
    </row>
    <row r="21" spans="1:3" ht="13.8" x14ac:dyDescent="0.25">
      <c r="A21" s="6" t="s">
        <v>68</v>
      </c>
      <c r="B21" s="6" t="s">
        <v>55</v>
      </c>
      <c r="C21" s="14">
        <v>1371.34</v>
      </c>
    </row>
    <row r="22" spans="1:3" ht="13.8" x14ac:dyDescent="0.25">
      <c r="A22" s="6" t="s">
        <v>13</v>
      </c>
      <c r="B22" s="6" t="s">
        <v>59</v>
      </c>
      <c r="C22" s="14">
        <v>1360.36</v>
      </c>
    </row>
    <row r="23" spans="1:3" ht="13.8" x14ac:dyDescent="0.25">
      <c r="A23" s="6" t="s">
        <v>49</v>
      </c>
      <c r="B23" s="6" t="s">
        <v>23</v>
      </c>
      <c r="C23" s="14">
        <v>1353.79</v>
      </c>
    </row>
    <row r="24" spans="1:3" ht="13.8" x14ac:dyDescent="0.25">
      <c r="A24" s="6" t="s">
        <v>32</v>
      </c>
      <c r="B24" s="6" t="s">
        <v>61</v>
      </c>
      <c r="C24" s="14">
        <v>1350.33</v>
      </c>
    </row>
    <row r="25" spans="1:3" ht="13.8" x14ac:dyDescent="0.25">
      <c r="A25" s="6" t="s">
        <v>37</v>
      </c>
      <c r="B25" s="6" t="s">
        <v>36</v>
      </c>
      <c r="C25" s="14">
        <v>1343.13</v>
      </c>
    </row>
    <row r="26" spans="1:3" ht="13.8" x14ac:dyDescent="0.25">
      <c r="A26" s="6" t="s">
        <v>67</v>
      </c>
      <c r="B26" s="6" t="s">
        <v>10</v>
      </c>
      <c r="C26" s="14">
        <v>1335.87</v>
      </c>
    </row>
    <row r="27" spans="1:3" ht="13.8" x14ac:dyDescent="0.25">
      <c r="A27" s="6" t="s">
        <v>28</v>
      </c>
      <c r="B27" s="6" t="s">
        <v>29</v>
      </c>
      <c r="C27" s="14">
        <v>1317.53</v>
      </c>
    </row>
    <row r="28" spans="1:3" ht="13.8" x14ac:dyDescent="0.25">
      <c r="A28" s="6" t="s">
        <v>72</v>
      </c>
      <c r="B28" s="6" t="s">
        <v>10</v>
      </c>
      <c r="C28" s="14">
        <v>1311.26</v>
      </c>
    </row>
    <row r="29" spans="1:3" ht="13.8" x14ac:dyDescent="0.25">
      <c r="A29" s="6" t="s">
        <v>9</v>
      </c>
      <c r="B29" s="6" t="s">
        <v>33</v>
      </c>
      <c r="C29" s="14">
        <v>1301.8900000000001</v>
      </c>
    </row>
    <row r="30" spans="1:3" ht="13.8" x14ac:dyDescent="0.25">
      <c r="A30" s="6" t="s">
        <v>22</v>
      </c>
      <c r="B30" s="6" t="s">
        <v>31</v>
      </c>
      <c r="C30" s="14">
        <v>1291.47</v>
      </c>
    </row>
    <row r="31" spans="1:3" ht="13.8" x14ac:dyDescent="0.25">
      <c r="A31" s="6" t="s">
        <v>54</v>
      </c>
      <c r="B31" s="6" t="s">
        <v>47</v>
      </c>
      <c r="C31" s="14">
        <v>1286.54</v>
      </c>
    </row>
    <row r="32" spans="1:3" ht="13.8" x14ac:dyDescent="0.25">
      <c r="A32" s="6" t="s">
        <v>72</v>
      </c>
      <c r="B32" s="6" t="s">
        <v>17</v>
      </c>
      <c r="C32" s="14">
        <v>1277.8499999999999</v>
      </c>
    </row>
    <row r="33" spans="1:3" ht="13.8" x14ac:dyDescent="0.25">
      <c r="A33" s="6" t="s">
        <v>49</v>
      </c>
      <c r="B33" s="6" t="s">
        <v>50</v>
      </c>
      <c r="C33" s="14">
        <v>1264.49</v>
      </c>
    </row>
    <row r="34" spans="1:3" ht="13.8" x14ac:dyDescent="0.25">
      <c r="A34" s="6" t="s">
        <v>19</v>
      </c>
      <c r="B34" s="6" t="s">
        <v>53</v>
      </c>
      <c r="C34" s="14">
        <v>1261.3399999999999</v>
      </c>
    </row>
    <row r="35" spans="1:3" ht="13.8" x14ac:dyDescent="0.25">
      <c r="A35" s="6" t="s">
        <v>44</v>
      </c>
      <c r="B35" s="6" t="s">
        <v>31</v>
      </c>
      <c r="C35" s="14">
        <v>1250.71</v>
      </c>
    </row>
    <row r="36" spans="1:3" ht="13.8" x14ac:dyDescent="0.25">
      <c r="A36" s="6" t="s">
        <v>73</v>
      </c>
      <c r="B36" s="6" t="s">
        <v>29</v>
      </c>
      <c r="C36" s="14">
        <v>1249.0999999999999</v>
      </c>
    </row>
    <row r="37" spans="1:3" ht="13.8" x14ac:dyDescent="0.25">
      <c r="A37" s="6" t="s">
        <v>67</v>
      </c>
      <c r="B37" s="6" t="s">
        <v>38</v>
      </c>
      <c r="C37" s="14">
        <v>1248.82</v>
      </c>
    </row>
    <row r="38" spans="1:3" ht="13.8" x14ac:dyDescent="0.25">
      <c r="A38" s="6" t="s">
        <v>30</v>
      </c>
      <c r="B38" s="6" t="s">
        <v>66</v>
      </c>
      <c r="C38" s="14">
        <v>1231.26</v>
      </c>
    </row>
    <row r="39" spans="1:3" ht="13.8" x14ac:dyDescent="0.25">
      <c r="A39" s="6" t="s">
        <v>30</v>
      </c>
      <c r="B39" s="6" t="s">
        <v>61</v>
      </c>
      <c r="C39" s="14">
        <v>1227.25</v>
      </c>
    </row>
    <row r="40" spans="1:3" ht="13.8" x14ac:dyDescent="0.25">
      <c r="A40" s="6" t="s">
        <v>58</v>
      </c>
      <c r="B40" s="6" t="s">
        <v>23</v>
      </c>
      <c r="C40" s="14">
        <v>1226.6199999999999</v>
      </c>
    </row>
    <row r="41" spans="1:3" ht="13.8" x14ac:dyDescent="0.25">
      <c r="A41" s="6" t="s">
        <v>54</v>
      </c>
      <c r="B41" s="6" t="s">
        <v>56</v>
      </c>
      <c r="C41" s="14">
        <v>1225.42</v>
      </c>
    </row>
    <row r="42" spans="1:3" ht="13.8" x14ac:dyDescent="0.25">
      <c r="A42" s="6" t="s">
        <v>13</v>
      </c>
      <c r="B42" s="6" t="s">
        <v>29</v>
      </c>
      <c r="C42" s="14">
        <v>1215.26</v>
      </c>
    </row>
    <row r="43" spans="1:3" ht="13.8" x14ac:dyDescent="0.25">
      <c r="A43" s="6" t="s">
        <v>63</v>
      </c>
      <c r="B43" s="6" t="s">
        <v>61</v>
      </c>
      <c r="C43" s="14">
        <v>1213.48</v>
      </c>
    </row>
    <row r="44" spans="1:3" ht="13.8" x14ac:dyDescent="0.25">
      <c r="A44" s="6" t="s">
        <v>57</v>
      </c>
      <c r="B44" s="6" t="s">
        <v>23</v>
      </c>
      <c r="C44" s="14">
        <v>1205.82</v>
      </c>
    </row>
    <row r="45" spans="1:3" ht="13.8" x14ac:dyDescent="0.25">
      <c r="A45" s="6" t="s">
        <v>58</v>
      </c>
      <c r="B45" s="6" t="s">
        <v>53</v>
      </c>
      <c r="C45" s="14">
        <v>1200.9000000000001</v>
      </c>
    </row>
    <row r="46" spans="1:3" ht="13.8" x14ac:dyDescent="0.25">
      <c r="A46" s="6" t="s">
        <v>46</v>
      </c>
      <c r="B46" s="6" t="s">
        <v>71</v>
      </c>
      <c r="C46" s="14">
        <v>1193.6099999999999</v>
      </c>
    </row>
    <row r="47" spans="1:3" ht="13.8" x14ac:dyDescent="0.25">
      <c r="A47" s="6" t="s">
        <v>25</v>
      </c>
      <c r="B47" s="6" t="s">
        <v>26</v>
      </c>
      <c r="C47" s="14">
        <v>1191.58</v>
      </c>
    </row>
    <row r="48" spans="1:3" ht="13.8" x14ac:dyDescent="0.25">
      <c r="A48" s="6" t="s">
        <v>32</v>
      </c>
      <c r="B48" s="6" t="s">
        <v>31</v>
      </c>
      <c r="C48" s="14">
        <v>1189.83</v>
      </c>
    </row>
    <row r="49" spans="1:3" ht="13.8" x14ac:dyDescent="0.25">
      <c r="A49" s="6" t="s">
        <v>57</v>
      </c>
      <c r="B49" s="6" t="s">
        <v>26</v>
      </c>
      <c r="C49" s="14">
        <v>1186.8499999999999</v>
      </c>
    </row>
    <row r="50" spans="1:3" ht="13.8" x14ac:dyDescent="0.25">
      <c r="A50" s="6" t="s">
        <v>32</v>
      </c>
      <c r="B50" s="6" t="s">
        <v>26</v>
      </c>
      <c r="C50" s="14">
        <v>1184.25</v>
      </c>
    </row>
    <row r="51" spans="1:3" ht="13.8" x14ac:dyDescent="0.25">
      <c r="A51" s="6" t="s">
        <v>35</v>
      </c>
      <c r="B51" s="6" t="s">
        <v>50</v>
      </c>
      <c r="C51" s="14">
        <v>1173.1199999999999</v>
      </c>
    </row>
    <row r="52" spans="1:3" ht="13.8" x14ac:dyDescent="0.25">
      <c r="A52" s="6" t="s">
        <v>41</v>
      </c>
      <c r="B52" s="6" t="s">
        <v>61</v>
      </c>
      <c r="C52" s="14">
        <v>1172.97</v>
      </c>
    </row>
    <row r="53" spans="1:3" ht="13.8" x14ac:dyDescent="0.25">
      <c r="A53" s="6" t="s">
        <v>73</v>
      </c>
      <c r="B53" s="6" t="s">
        <v>59</v>
      </c>
      <c r="C53" s="14">
        <v>1171.18</v>
      </c>
    </row>
    <row r="54" spans="1:3" ht="13.8" x14ac:dyDescent="0.25">
      <c r="A54" s="6" t="s">
        <v>58</v>
      </c>
      <c r="B54" s="6" t="s">
        <v>36</v>
      </c>
      <c r="C54" s="14">
        <v>1168.8900000000001</v>
      </c>
    </row>
    <row r="55" spans="1:3" ht="13.8" x14ac:dyDescent="0.25">
      <c r="A55" s="6" t="s">
        <v>52</v>
      </c>
      <c r="B55" s="6" t="s">
        <v>50</v>
      </c>
      <c r="C55" s="14">
        <v>1163.01</v>
      </c>
    </row>
    <row r="56" spans="1:3" ht="13.8" x14ac:dyDescent="0.25">
      <c r="A56" s="6" t="s">
        <v>30</v>
      </c>
      <c r="B56" s="6" t="s">
        <v>43</v>
      </c>
      <c r="C56" s="14">
        <v>1161.67</v>
      </c>
    </row>
    <row r="57" spans="1:3" ht="13.8" x14ac:dyDescent="0.25">
      <c r="A57" s="6" t="s">
        <v>67</v>
      </c>
      <c r="B57" s="6" t="s">
        <v>23</v>
      </c>
      <c r="C57" s="14">
        <v>1158.94</v>
      </c>
    </row>
    <row r="58" spans="1:3" ht="13.8" x14ac:dyDescent="0.25">
      <c r="A58" s="6" t="s">
        <v>40</v>
      </c>
      <c r="B58" s="6" t="s">
        <v>23</v>
      </c>
      <c r="C58" s="14">
        <v>1154.33</v>
      </c>
    </row>
    <row r="59" spans="1:3" ht="13.8" x14ac:dyDescent="0.25">
      <c r="A59" s="6" t="s">
        <v>19</v>
      </c>
      <c r="B59" s="6" t="s">
        <v>42</v>
      </c>
      <c r="C59" s="14">
        <v>1151.21</v>
      </c>
    </row>
    <row r="60" spans="1:3" ht="13.8" x14ac:dyDescent="0.25">
      <c r="A60" s="6" t="s">
        <v>57</v>
      </c>
      <c r="B60" s="6" t="s">
        <v>38</v>
      </c>
      <c r="C60" s="14">
        <v>1150.28</v>
      </c>
    </row>
    <row r="61" spans="1:3" ht="13.8" x14ac:dyDescent="0.25">
      <c r="A61" s="6" t="s">
        <v>68</v>
      </c>
      <c r="B61" s="6" t="s">
        <v>33</v>
      </c>
      <c r="C61" s="14">
        <v>1143.69</v>
      </c>
    </row>
    <row r="62" spans="1:3" ht="13.8" x14ac:dyDescent="0.25">
      <c r="A62" s="6" t="s">
        <v>40</v>
      </c>
      <c r="B62" s="6" t="s">
        <v>17</v>
      </c>
      <c r="C62" s="14">
        <v>1118.3399999999999</v>
      </c>
    </row>
    <row r="63" spans="1:3" ht="13.8" x14ac:dyDescent="0.25">
      <c r="A63" s="6" t="s">
        <v>52</v>
      </c>
      <c r="B63" s="6" t="s">
        <v>23</v>
      </c>
      <c r="C63" s="14">
        <v>1115.22</v>
      </c>
    </row>
    <row r="64" spans="1:3" ht="13.8" x14ac:dyDescent="0.25">
      <c r="A64" s="6" t="s">
        <v>30</v>
      </c>
      <c r="B64" s="6" t="s">
        <v>29</v>
      </c>
      <c r="C64" s="14">
        <v>1111.3399999999999</v>
      </c>
    </row>
    <row r="65" spans="1:3" ht="13.8" x14ac:dyDescent="0.25">
      <c r="A65" s="6" t="s">
        <v>22</v>
      </c>
      <c r="B65" s="6" t="s">
        <v>31</v>
      </c>
      <c r="C65" s="14">
        <v>1109.98</v>
      </c>
    </row>
    <row r="66" spans="1:3" ht="13.8" x14ac:dyDescent="0.25">
      <c r="A66" s="6" t="s">
        <v>25</v>
      </c>
      <c r="B66" s="6" t="s">
        <v>66</v>
      </c>
      <c r="C66" s="14">
        <v>1101.55</v>
      </c>
    </row>
    <row r="67" spans="1:3" ht="13.8" x14ac:dyDescent="0.25">
      <c r="A67" s="6" t="s">
        <v>13</v>
      </c>
      <c r="B67" s="6" t="s">
        <v>14</v>
      </c>
      <c r="C67" s="14">
        <v>1101.28</v>
      </c>
    </row>
    <row r="68" spans="1:3" ht="13.8" x14ac:dyDescent="0.25">
      <c r="A68" s="6" t="s">
        <v>41</v>
      </c>
      <c r="B68" s="6" t="s">
        <v>61</v>
      </c>
      <c r="C68" s="14">
        <v>1100.0999999999999</v>
      </c>
    </row>
    <row r="69" spans="1:3" ht="13.8" x14ac:dyDescent="0.25">
      <c r="A69" s="6" t="s">
        <v>72</v>
      </c>
      <c r="B69" s="6" t="s">
        <v>29</v>
      </c>
      <c r="C69" s="14">
        <v>1099.69</v>
      </c>
    </row>
    <row r="70" spans="1:3" ht="13.8" x14ac:dyDescent="0.25">
      <c r="A70" s="6" t="s">
        <v>58</v>
      </c>
      <c r="B70" s="6" t="s">
        <v>45</v>
      </c>
      <c r="C70" s="14">
        <v>1098.08</v>
      </c>
    </row>
    <row r="71" spans="1:3" ht="13.8" x14ac:dyDescent="0.25">
      <c r="A71" s="6" t="s">
        <v>44</v>
      </c>
      <c r="B71" s="6" t="s">
        <v>61</v>
      </c>
      <c r="C71" s="14">
        <v>1093.3800000000001</v>
      </c>
    </row>
    <row r="72" spans="1:3" ht="13.8" x14ac:dyDescent="0.25">
      <c r="A72" s="6" t="s">
        <v>22</v>
      </c>
      <c r="B72" s="6" t="s">
        <v>64</v>
      </c>
      <c r="C72" s="14">
        <v>1086.93</v>
      </c>
    </row>
    <row r="73" spans="1:3" ht="13.8" x14ac:dyDescent="0.25">
      <c r="A73" s="6" t="s">
        <v>44</v>
      </c>
      <c r="B73" s="6" t="s">
        <v>23</v>
      </c>
      <c r="C73" s="14">
        <v>1081.1400000000001</v>
      </c>
    </row>
    <row r="74" spans="1:3" ht="13.8" x14ac:dyDescent="0.25">
      <c r="A74" s="6" t="s">
        <v>28</v>
      </c>
      <c r="B74" s="6" t="s">
        <v>45</v>
      </c>
      <c r="C74" s="14">
        <v>1077.92</v>
      </c>
    </row>
    <row r="75" spans="1:3" ht="13.8" x14ac:dyDescent="0.25">
      <c r="A75" s="6" t="s">
        <v>44</v>
      </c>
      <c r="B75" s="6" t="s">
        <v>45</v>
      </c>
      <c r="C75" s="14">
        <v>1076.33</v>
      </c>
    </row>
    <row r="76" spans="1:3" ht="13.8" x14ac:dyDescent="0.25">
      <c r="A76" s="6" t="s">
        <v>30</v>
      </c>
      <c r="B76" s="6" t="s">
        <v>31</v>
      </c>
      <c r="C76" s="14">
        <v>1074.47</v>
      </c>
    </row>
    <row r="77" spans="1:3" ht="13.8" x14ac:dyDescent="0.25">
      <c r="A77" s="6" t="s">
        <v>19</v>
      </c>
      <c r="B77" s="6" t="s">
        <v>48</v>
      </c>
      <c r="C77" s="14">
        <v>1070.68</v>
      </c>
    </row>
    <row r="78" spans="1:3" ht="13.8" x14ac:dyDescent="0.25">
      <c r="A78" s="6" t="s">
        <v>37</v>
      </c>
      <c r="B78" s="6" t="s">
        <v>38</v>
      </c>
      <c r="C78" s="14">
        <v>1064.19</v>
      </c>
    </row>
    <row r="79" spans="1:3" ht="13.8" x14ac:dyDescent="0.25">
      <c r="A79" s="6" t="s">
        <v>75</v>
      </c>
      <c r="B79" s="6" t="s">
        <v>45</v>
      </c>
      <c r="C79" s="14">
        <v>1061.04</v>
      </c>
    </row>
    <row r="80" spans="1:3" ht="13.8" x14ac:dyDescent="0.25">
      <c r="A80" s="6" t="s">
        <v>58</v>
      </c>
      <c r="B80" s="6" t="s">
        <v>14</v>
      </c>
      <c r="C80" s="14">
        <v>1054.56</v>
      </c>
    </row>
    <row r="81" spans="1:3" ht="13.8" x14ac:dyDescent="0.25">
      <c r="A81" s="6" t="s">
        <v>9</v>
      </c>
      <c r="B81" s="6" t="s">
        <v>10</v>
      </c>
      <c r="C81" s="14">
        <v>1036.0899999999999</v>
      </c>
    </row>
    <row r="82" spans="1:3" ht="13.8" x14ac:dyDescent="0.25">
      <c r="A82" s="6" t="s">
        <v>67</v>
      </c>
      <c r="B82" s="6" t="s">
        <v>23</v>
      </c>
      <c r="C82" s="14">
        <v>1034.7</v>
      </c>
    </row>
    <row r="83" spans="1:3" ht="13.8" x14ac:dyDescent="0.25">
      <c r="A83" s="6" t="s">
        <v>30</v>
      </c>
      <c r="B83" s="6" t="s">
        <v>55</v>
      </c>
      <c r="C83" s="14">
        <v>1029.8</v>
      </c>
    </row>
    <row r="84" spans="1:3" ht="13.8" x14ac:dyDescent="0.25">
      <c r="A84" s="6" t="s">
        <v>52</v>
      </c>
      <c r="B84" s="6" t="s">
        <v>23</v>
      </c>
      <c r="C84" s="14">
        <v>1025.98</v>
      </c>
    </row>
    <row r="85" spans="1:3" ht="13.8" x14ac:dyDescent="0.25">
      <c r="A85" s="6" t="s">
        <v>49</v>
      </c>
      <c r="B85" s="6" t="s">
        <v>56</v>
      </c>
      <c r="C85" s="14">
        <v>1023.21</v>
      </c>
    </row>
    <row r="86" spans="1:3" ht="13.8" x14ac:dyDescent="0.25">
      <c r="A86" s="6" t="s">
        <v>16</v>
      </c>
      <c r="B86" s="6" t="s">
        <v>31</v>
      </c>
      <c r="C86" s="14">
        <v>1022.23</v>
      </c>
    </row>
    <row r="87" spans="1:3" ht="13.8" x14ac:dyDescent="0.25">
      <c r="A87" s="6" t="s">
        <v>25</v>
      </c>
      <c r="B87" s="6" t="s">
        <v>33</v>
      </c>
      <c r="C87" s="14">
        <v>1021.47</v>
      </c>
    </row>
    <row r="88" spans="1:3" ht="13.8" x14ac:dyDescent="0.25">
      <c r="A88" s="6" t="s">
        <v>57</v>
      </c>
      <c r="B88" s="6" t="s">
        <v>47</v>
      </c>
      <c r="C88" s="14">
        <v>1020.26</v>
      </c>
    </row>
    <row r="89" spans="1:3" ht="13.8" x14ac:dyDescent="0.25">
      <c r="A89" s="6" t="s">
        <v>54</v>
      </c>
      <c r="B89" s="6" t="s">
        <v>45</v>
      </c>
      <c r="C89" s="14">
        <v>1014.56</v>
      </c>
    </row>
    <row r="90" spans="1:3" ht="13.8" x14ac:dyDescent="0.25">
      <c r="A90" s="6" t="s">
        <v>73</v>
      </c>
      <c r="B90" s="6" t="s">
        <v>53</v>
      </c>
      <c r="C90" s="14">
        <v>1014.43</v>
      </c>
    </row>
    <row r="91" spans="1:3" ht="13.8" x14ac:dyDescent="0.25">
      <c r="A91" s="6" t="s">
        <v>44</v>
      </c>
      <c r="B91" s="6" t="s">
        <v>23</v>
      </c>
      <c r="C91" s="14">
        <v>1014.22</v>
      </c>
    </row>
    <row r="92" spans="1:3" ht="13.8" x14ac:dyDescent="0.25">
      <c r="A92" s="6" t="s">
        <v>44</v>
      </c>
      <c r="B92" s="6" t="s">
        <v>56</v>
      </c>
      <c r="C92" s="14">
        <v>1014.09</v>
      </c>
    </row>
    <row r="93" spans="1:3" ht="13.8" x14ac:dyDescent="0.25">
      <c r="A93" s="6" t="s">
        <v>54</v>
      </c>
      <c r="B93" s="6" t="s">
        <v>48</v>
      </c>
      <c r="C93" s="14">
        <v>1010.58</v>
      </c>
    </row>
    <row r="94" spans="1:3" ht="13.8" x14ac:dyDescent="0.25">
      <c r="A94" s="6" t="s">
        <v>67</v>
      </c>
      <c r="B94" s="6" t="s">
        <v>10</v>
      </c>
      <c r="C94" s="14">
        <v>1005.53</v>
      </c>
    </row>
    <row r="95" spans="1:3" ht="13.8" x14ac:dyDescent="0.25">
      <c r="A95" s="6" t="s">
        <v>63</v>
      </c>
      <c r="B95" s="6" t="s">
        <v>31</v>
      </c>
      <c r="C95" s="14">
        <v>1001.57</v>
      </c>
    </row>
    <row r="96" spans="1:3" ht="13.8" x14ac:dyDescent="0.25">
      <c r="A96" s="6" t="s">
        <v>35</v>
      </c>
      <c r="B96" s="6" t="s">
        <v>36</v>
      </c>
      <c r="C96" s="14">
        <v>997.61</v>
      </c>
    </row>
    <row r="97" spans="1:3" ht="13.8" x14ac:dyDescent="0.25">
      <c r="A97" s="6" t="s">
        <v>60</v>
      </c>
      <c r="B97" s="6" t="s">
        <v>26</v>
      </c>
      <c r="C97" s="14">
        <v>990.19</v>
      </c>
    </row>
    <row r="98" spans="1:3" ht="13.8" x14ac:dyDescent="0.25">
      <c r="A98" s="6" t="s">
        <v>57</v>
      </c>
      <c r="B98" s="6" t="s">
        <v>55</v>
      </c>
      <c r="C98" s="14">
        <v>984.93</v>
      </c>
    </row>
    <row r="99" spans="1:3" ht="13.8" x14ac:dyDescent="0.25">
      <c r="A99" s="6" t="s">
        <v>52</v>
      </c>
      <c r="B99" s="6" t="s">
        <v>53</v>
      </c>
      <c r="C99" s="14">
        <v>983.34</v>
      </c>
    </row>
    <row r="100" spans="1:3" ht="13.8" x14ac:dyDescent="0.25">
      <c r="A100" s="6" t="s">
        <v>68</v>
      </c>
      <c r="B100" s="6" t="s">
        <v>69</v>
      </c>
      <c r="C100" s="14">
        <v>981.2</v>
      </c>
    </row>
    <row r="101" spans="1:3" ht="13.8" x14ac:dyDescent="0.25">
      <c r="A101" s="6" t="s">
        <v>70</v>
      </c>
      <c r="B101" s="6" t="s">
        <v>66</v>
      </c>
      <c r="C101" s="14">
        <v>980.18</v>
      </c>
    </row>
    <row r="102" spans="1:3" ht="13.8" x14ac:dyDescent="0.25">
      <c r="A102" s="6" t="s">
        <v>22</v>
      </c>
      <c r="B102" s="6" t="s">
        <v>66</v>
      </c>
      <c r="C102" s="14">
        <v>973.26</v>
      </c>
    </row>
    <row r="103" spans="1:3" ht="13.8" x14ac:dyDescent="0.25">
      <c r="A103" s="6" t="s">
        <v>57</v>
      </c>
      <c r="B103" s="6" t="s">
        <v>43</v>
      </c>
      <c r="C103" s="14">
        <v>967.89</v>
      </c>
    </row>
    <row r="104" spans="1:3" ht="13.8" x14ac:dyDescent="0.25">
      <c r="A104" s="6" t="s">
        <v>75</v>
      </c>
      <c r="B104" s="6" t="s">
        <v>47</v>
      </c>
      <c r="C104" s="14">
        <v>966.3</v>
      </c>
    </row>
    <row r="105" spans="1:3" ht="13.8" x14ac:dyDescent="0.25">
      <c r="A105" s="6" t="s">
        <v>25</v>
      </c>
      <c r="B105" s="6" t="s">
        <v>26</v>
      </c>
      <c r="C105" s="14">
        <v>965.64</v>
      </c>
    </row>
    <row r="106" spans="1:3" ht="13.8" x14ac:dyDescent="0.25">
      <c r="A106" s="6" t="s">
        <v>37</v>
      </c>
      <c r="B106" s="6" t="s">
        <v>64</v>
      </c>
      <c r="C106" s="14">
        <v>961.62</v>
      </c>
    </row>
    <row r="107" spans="1:3" ht="13.8" x14ac:dyDescent="0.25">
      <c r="A107" s="6" t="s">
        <v>30</v>
      </c>
      <c r="B107" s="6" t="s">
        <v>59</v>
      </c>
      <c r="C107" s="14">
        <v>957.29</v>
      </c>
    </row>
    <row r="108" spans="1:3" ht="13.8" x14ac:dyDescent="0.25">
      <c r="A108" s="6" t="s">
        <v>25</v>
      </c>
      <c r="B108" s="6" t="s">
        <v>48</v>
      </c>
      <c r="C108" s="14">
        <v>953.3</v>
      </c>
    </row>
    <row r="109" spans="1:3" ht="13.8" x14ac:dyDescent="0.25">
      <c r="A109" s="6" t="s">
        <v>65</v>
      </c>
      <c r="B109" s="6" t="s">
        <v>48</v>
      </c>
      <c r="C109" s="14">
        <v>942.9</v>
      </c>
    </row>
    <row r="110" spans="1:3" ht="13.8" x14ac:dyDescent="0.25">
      <c r="A110" s="6" t="s">
        <v>25</v>
      </c>
      <c r="B110" s="6" t="s">
        <v>14</v>
      </c>
      <c r="C110" s="14">
        <v>939.09</v>
      </c>
    </row>
    <row r="111" spans="1:3" ht="13.8" x14ac:dyDescent="0.25">
      <c r="A111" s="6" t="s">
        <v>37</v>
      </c>
      <c r="B111" s="6" t="s">
        <v>43</v>
      </c>
      <c r="C111" s="14">
        <v>934.27</v>
      </c>
    </row>
    <row r="112" spans="1:3" ht="13.8" x14ac:dyDescent="0.25">
      <c r="A112" s="6" t="s">
        <v>30</v>
      </c>
      <c r="B112" s="6" t="s">
        <v>31</v>
      </c>
      <c r="C112" s="14">
        <v>933.71</v>
      </c>
    </row>
    <row r="113" spans="1:3" ht="13.8" x14ac:dyDescent="0.25">
      <c r="A113" s="6" t="s">
        <v>60</v>
      </c>
      <c r="B113" s="6" t="s">
        <v>36</v>
      </c>
      <c r="C113" s="14">
        <v>928.32</v>
      </c>
    </row>
    <row r="114" spans="1:3" ht="13.8" x14ac:dyDescent="0.25">
      <c r="A114" s="6" t="s">
        <v>13</v>
      </c>
      <c r="B114" s="6" t="s">
        <v>31</v>
      </c>
      <c r="C114" s="14">
        <v>925.31</v>
      </c>
    </row>
    <row r="115" spans="1:3" ht="13.8" x14ac:dyDescent="0.25">
      <c r="A115" s="6" t="s">
        <v>13</v>
      </c>
      <c r="B115" s="6" t="s">
        <v>48</v>
      </c>
      <c r="C115" s="14">
        <v>925.29</v>
      </c>
    </row>
    <row r="116" spans="1:3" ht="13.8" x14ac:dyDescent="0.25">
      <c r="A116" s="6" t="s">
        <v>41</v>
      </c>
      <c r="B116" s="6" t="s">
        <v>45</v>
      </c>
      <c r="C116" s="14">
        <v>919.18</v>
      </c>
    </row>
    <row r="117" spans="1:3" ht="13.8" x14ac:dyDescent="0.25">
      <c r="A117" s="6" t="s">
        <v>19</v>
      </c>
      <c r="B117" s="6" t="s">
        <v>14</v>
      </c>
      <c r="C117" s="14">
        <v>919.04</v>
      </c>
    </row>
    <row r="118" spans="1:3" ht="13.8" x14ac:dyDescent="0.25">
      <c r="A118" s="6" t="s">
        <v>68</v>
      </c>
      <c r="B118" s="6" t="s">
        <v>17</v>
      </c>
      <c r="C118" s="14">
        <v>917.48</v>
      </c>
    </row>
    <row r="119" spans="1:3" ht="13.8" x14ac:dyDescent="0.25">
      <c r="A119" s="6" t="s">
        <v>67</v>
      </c>
      <c r="B119" s="6" t="s">
        <v>23</v>
      </c>
      <c r="C119" s="14">
        <v>902.19</v>
      </c>
    </row>
    <row r="120" spans="1:3" ht="13.8" x14ac:dyDescent="0.25">
      <c r="A120" s="6" t="s">
        <v>28</v>
      </c>
      <c r="B120" s="6" t="s">
        <v>43</v>
      </c>
      <c r="C120" s="14">
        <v>894.55</v>
      </c>
    </row>
    <row r="121" spans="1:3" ht="13.8" x14ac:dyDescent="0.25">
      <c r="A121" s="6" t="s">
        <v>63</v>
      </c>
      <c r="B121" s="6" t="s">
        <v>29</v>
      </c>
      <c r="C121" s="14">
        <v>884.63</v>
      </c>
    </row>
    <row r="122" spans="1:3" ht="13.8" x14ac:dyDescent="0.25">
      <c r="A122" s="6" t="s">
        <v>44</v>
      </c>
      <c r="B122" s="6" t="s">
        <v>14</v>
      </c>
      <c r="C122" s="14">
        <v>877.58</v>
      </c>
    </row>
    <row r="123" spans="1:3" ht="13.8" x14ac:dyDescent="0.25">
      <c r="A123" s="6" t="s">
        <v>65</v>
      </c>
      <c r="B123" s="6" t="s">
        <v>31</v>
      </c>
      <c r="C123" s="14">
        <v>876.44</v>
      </c>
    </row>
    <row r="124" spans="1:3" ht="13.8" x14ac:dyDescent="0.25">
      <c r="A124" s="6" t="s">
        <v>74</v>
      </c>
      <c r="B124" s="6" t="s">
        <v>38</v>
      </c>
      <c r="C124" s="14">
        <v>875.41</v>
      </c>
    </row>
    <row r="125" spans="1:3" ht="13.8" x14ac:dyDescent="0.25">
      <c r="A125" s="6" t="s">
        <v>40</v>
      </c>
      <c r="B125" s="6" t="s">
        <v>55</v>
      </c>
      <c r="C125" s="14">
        <v>873.7</v>
      </c>
    </row>
    <row r="126" spans="1:3" ht="13.8" x14ac:dyDescent="0.25">
      <c r="A126" s="6" t="s">
        <v>60</v>
      </c>
      <c r="B126" s="6" t="s">
        <v>17</v>
      </c>
      <c r="C126" s="14">
        <v>870.23</v>
      </c>
    </row>
    <row r="127" spans="1:3" ht="13.8" x14ac:dyDescent="0.25">
      <c r="A127" s="6" t="s">
        <v>41</v>
      </c>
      <c r="B127" s="6" t="s">
        <v>55</v>
      </c>
      <c r="C127" s="14">
        <v>864.98</v>
      </c>
    </row>
    <row r="128" spans="1:3" ht="13.8" x14ac:dyDescent="0.25">
      <c r="A128" s="6" t="s">
        <v>35</v>
      </c>
      <c r="B128" s="6" t="s">
        <v>29</v>
      </c>
      <c r="C128" s="14">
        <v>862.19</v>
      </c>
    </row>
    <row r="129" spans="1:3" ht="13.8" x14ac:dyDescent="0.25">
      <c r="A129" s="6" t="s">
        <v>16</v>
      </c>
      <c r="B129" s="6" t="s">
        <v>62</v>
      </c>
      <c r="C129" s="14">
        <v>856.7</v>
      </c>
    </row>
    <row r="130" spans="1:3" ht="13.8" x14ac:dyDescent="0.25">
      <c r="A130" s="6" t="s">
        <v>37</v>
      </c>
      <c r="B130" s="6" t="s">
        <v>71</v>
      </c>
      <c r="C130" s="14">
        <v>853.86</v>
      </c>
    </row>
    <row r="131" spans="1:3" ht="13.8" x14ac:dyDescent="0.25">
      <c r="A131" s="6" t="s">
        <v>28</v>
      </c>
      <c r="B131" s="6" t="s">
        <v>47</v>
      </c>
      <c r="C131" s="14">
        <v>853.72</v>
      </c>
    </row>
    <row r="132" spans="1:3" ht="13.8" x14ac:dyDescent="0.25">
      <c r="A132" s="6" t="s">
        <v>22</v>
      </c>
      <c r="B132" s="6" t="s">
        <v>23</v>
      </c>
      <c r="C132" s="14">
        <v>847</v>
      </c>
    </row>
    <row r="133" spans="1:3" ht="13.8" x14ac:dyDescent="0.25">
      <c r="A133" s="6" t="s">
        <v>13</v>
      </c>
      <c r="B133" s="6" t="s">
        <v>45</v>
      </c>
      <c r="C133" s="14">
        <v>845.84</v>
      </c>
    </row>
    <row r="134" spans="1:3" ht="13.8" x14ac:dyDescent="0.25">
      <c r="A134" s="6" t="s">
        <v>9</v>
      </c>
      <c r="B134" s="6" t="s">
        <v>55</v>
      </c>
      <c r="C134" s="14">
        <v>840.92</v>
      </c>
    </row>
    <row r="135" spans="1:3" ht="13.8" x14ac:dyDescent="0.25">
      <c r="A135" s="6" t="s">
        <v>57</v>
      </c>
      <c r="B135" s="6" t="s">
        <v>23</v>
      </c>
      <c r="C135" s="14">
        <v>840.85</v>
      </c>
    </row>
    <row r="136" spans="1:3" ht="13.8" x14ac:dyDescent="0.25">
      <c r="A136" s="6" t="s">
        <v>25</v>
      </c>
      <c r="B136" s="6" t="s">
        <v>38</v>
      </c>
      <c r="C136" s="14">
        <v>833.91</v>
      </c>
    </row>
    <row r="137" spans="1:3" ht="13.8" x14ac:dyDescent="0.25">
      <c r="A137" s="6" t="s">
        <v>65</v>
      </c>
      <c r="B137" s="6" t="s">
        <v>48</v>
      </c>
      <c r="C137" s="14">
        <v>827.25</v>
      </c>
    </row>
    <row r="138" spans="1:3" ht="13.8" x14ac:dyDescent="0.25">
      <c r="A138" s="6" t="s">
        <v>75</v>
      </c>
      <c r="B138" s="6" t="s">
        <v>31</v>
      </c>
      <c r="C138" s="14">
        <v>826.97</v>
      </c>
    </row>
    <row r="139" spans="1:3" ht="13.8" x14ac:dyDescent="0.25">
      <c r="A139" s="6" t="s">
        <v>16</v>
      </c>
      <c r="B139" s="6" t="s">
        <v>64</v>
      </c>
      <c r="C139" s="14">
        <v>826.93</v>
      </c>
    </row>
    <row r="140" spans="1:3" ht="13.8" x14ac:dyDescent="0.25">
      <c r="A140" s="6" t="s">
        <v>40</v>
      </c>
      <c r="B140" s="6" t="s">
        <v>14</v>
      </c>
      <c r="C140" s="14">
        <v>822.28</v>
      </c>
    </row>
    <row r="141" spans="1:3" ht="13.8" x14ac:dyDescent="0.25">
      <c r="A141" s="6" t="s">
        <v>58</v>
      </c>
      <c r="B141" s="6" t="s">
        <v>71</v>
      </c>
      <c r="C141" s="14">
        <v>820.19</v>
      </c>
    </row>
    <row r="142" spans="1:3" ht="13.8" x14ac:dyDescent="0.25">
      <c r="A142" s="6" t="s">
        <v>32</v>
      </c>
      <c r="B142" s="6" t="s">
        <v>38</v>
      </c>
      <c r="C142" s="14">
        <v>818.8</v>
      </c>
    </row>
    <row r="143" spans="1:3" ht="13.8" x14ac:dyDescent="0.25">
      <c r="A143" s="6" t="s">
        <v>65</v>
      </c>
      <c r="B143" s="6" t="s">
        <v>61</v>
      </c>
      <c r="C143" s="14">
        <v>806.03</v>
      </c>
    </row>
    <row r="144" spans="1:3" ht="13.8" x14ac:dyDescent="0.25">
      <c r="A144" s="6" t="s">
        <v>44</v>
      </c>
      <c r="B144" s="6" t="s">
        <v>10</v>
      </c>
      <c r="C144" s="14">
        <v>804.81</v>
      </c>
    </row>
    <row r="145" spans="1:3" ht="13.8" x14ac:dyDescent="0.25">
      <c r="A145" s="6" t="s">
        <v>13</v>
      </c>
      <c r="B145" s="6" t="s">
        <v>71</v>
      </c>
      <c r="C145" s="14">
        <v>804.45</v>
      </c>
    </row>
    <row r="146" spans="1:3" ht="13.8" x14ac:dyDescent="0.25">
      <c r="A146" s="6" t="s">
        <v>52</v>
      </c>
      <c r="B146" s="6" t="s">
        <v>23</v>
      </c>
      <c r="C146" s="14">
        <v>801.21</v>
      </c>
    </row>
    <row r="147" spans="1:3" ht="13.8" x14ac:dyDescent="0.25">
      <c r="A147" s="6" t="s">
        <v>52</v>
      </c>
      <c r="B147" s="6" t="s">
        <v>50</v>
      </c>
      <c r="C147" s="14">
        <v>790.08</v>
      </c>
    </row>
    <row r="148" spans="1:3" ht="13.8" x14ac:dyDescent="0.25">
      <c r="A148" s="6" t="s">
        <v>44</v>
      </c>
      <c r="B148" s="6" t="s">
        <v>51</v>
      </c>
      <c r="C148" s="14">
        <v>775.45</v>
      </c>
    </row>
    <row r="149" spans="1:3" ht="13.8" x14ac:dyDescent="0.25">
      <c r="A149" s="6" t="s">
        <v>44</v>
      </c>
      <c r="B149" s="6" t="s">
        <v>59</v>
      </c>
      <c r="C149" s="14">
        <v>773.09</v>
      </c>
    </row>
    <row r="150" spans="1:3" ht="13.8" x14ac:dyDescent="0.25">
      <c r="A150" s="6" t="s">
        <v>32</v>
      </c>
      <c r="B150" s="6" t="s">
        <v>38</v>
      </c>
      <c r="C150" s="14">
        <v>771.02</v>
      </c>
    </row>
    <row r="151" spans="1:3" ht="13.8" x14ac:dyDescent="0.25">
      <c r="A151" s="6" t="s">
        <v>25</v>
      </c>
      <c r="B151" s="6" t="s">
        <v>10</v>
      </c>
      <c r="C151" s="14">
        <v>762.14</v>
      </c>
    </row>
    <row r="152" spans="1:3" ht="13.8" x14ac:dyDescent="0.25">
      <c r="A152" s="6" t="s">
        <v>19</v>
      </c>
      <c r="B152" s="6" t="s">
        <v>14</v>
      </c>
      <c r="C152" s="14">
        <v>760.93</v>
      </c>
    </row>
    <row r="153" spans="1:3" ht="13.8" x14ac:dyDescent="0.25">
      <c r="A153" s="6" t="s">
        <v>22</v>
      </c>
      <c r="B153" s="6" t="s">
        <v>53</v>
      </c>
      <c r="C153" s="14">
        <v>750.71</v>
      </c>
    </row>
    <row r="154" spans="1:3" ht="13.8" x14ac:dyDescent="0.25">
      <c r="A154" s="6" t="s">
        <v>52</v>
      </c>
      <c r="B154" s="6" t="s">
        <v>23</v>
      </c>
      <c r="C154" s="14">
        <v>745.05</v>
      </c>
    </row>
    <row r="155" spans="1:3" ht="13.8" x14ac:dyDescent="0.25">
      <c r="A155" s="6" t="s">
        <v>9</v>
      </c>
      <c r="B155" s="6" t="s">
        <v>31</v>
      </c>
      <c r="C155" s="14">
        <v>743.17</v>
      </c>
    </row>
    <row r="156" spans="1:3" ht="13.8" x14ac:dyDescent="0.25">
      <c r="A156" s="6" t="s">
        <v>70</v>
      </c>
      <c r="B156" s="6" t="s">
        <v>29</v>
      </c>
      <c r="C156" s="14">
        <v>741.88</v>
      </c>
    </row>
    <row r="157" spans="1:3" ht="13.8" x14ac:dyDescent="0.25">
      <c r="A157" s="6" t="s">
        <v>41</v>
      </c>
      <c r="B157" s="6" t="s">
        <v>64</v>
      </c>
      <c r="C157" s="14">
        <v>741.61</v>
      </c>
    </row>
    <row r="158" spans="1:3" ht="13.8" x14ac:dyDescent="0.25">
      <c r="A158" s="6" t="s">
        <v>52</v>
      </c>
      <c r="B158" s="6" t="s">
        <v>14</v>
      </c>
      <c r="C158" s="14">
        <v>740.8</v>
      </c>
    </row>
    <row r="159" spans="1:3" ht="13.8" x14ac:dyDescent="0.25">
      <c r="A159" s="6" t="s">
        <v>35</v>
      </c>
      <c r="B159" s="6" t="s">
        <v>36</v>
      </c>
      <c r="C159" s="14">
        <v>737.31</v>
      </c>
    </row>
    <row r="160" spans="1:3" ht="13.8" x14ac:dyDescent="0.25">
      <c r="A160" s="6" t="s">
        <v>54</v>
      </c>
      <c r="B160" s="6" t="s">
        <v>66</v>
      </c>
      <c r="C160" s="14">
        <v>728.71</v>
      </c>
    </row>
    <row r="161" spans="1:3" ht="13.8" x14ac:dyDescent="0.25">
      <c r="A161" s="6" t="s">
        <v>73</v>
      </c>
      <c r="B161" s="6" t="s">
        <v>14</v>
      </c>
      <c r="C161" s="14">
        <v>727.73</v>
      </c>
    </row>
    <row r="162" spans="1:3" ht="13.8" x14ac:dyDescent="0.25">
      <c r="A162" s="6" t="s">
        <v>9</v>
      </c>
      <c r="B162" s="6" t="s">
        <v>17</v>
      </c>
      <c r="C162" s="14">
        <v>718.04</v>
      </c>
    </row>
    <row r="163" spans="1:3" ht="13.8" x14ac:dyDescent="0.25">
      <c r="A163" s="6" t="s">
        <v>16</v>
      </c>
      <c r="B163" s="6" t="s">
        <v>17</v>
      </c>
      <c r="C163" s="14">
        <v>713.34</v>
      </c>
    </row>
    <row r="164" spans="1:3" ht="13.8" x14ac:dyDescent="0.25">
      <c r="A164" s="6" t="s">
        <v>52</v>
      </c>
      <c r="B164" s="6" t="s">
        <v>64</v>
      </c>
      <c r="C164" s="14">
        <v>710.52</v>
      </c>
    </row>
    <row r="165" spans="1:3" ht="13.8" x14ac:dyDescent="0.25">
      <c r="A165" s="6" t="s">
        <v>70</v>
      </c>
      <c r="B165" s="6" t="s">
        <v>23</v>
      </c>
      <c r="C165" s="14">
        <v>706.73</v>
      </c>
    </row>
    <row r="166" spans="1:3" ht="13.8" x14ac:dyDescent="0.25">
      <c r="A166" s="6" t="s">
        <v>40</v>
      </c>
      <c r="B166" s="6" t="s">
        <v>31</v>
      </c>
      <c r="C166" s="14">
        <v>706.37</v>
      </c>
    </row>
    <row r="167" spans="1:3" ht="13.8" x14ac:dyDescent="0.25">
      <c r="A167" s="6" t="s">
        <v>67</v>
      </c>
      <c r="B167" s="6" t="s">
        <v>43</v>
      </c>
      <c r="C167" s="14">
        <v>704.28</v>
      </c>
    </row>
    <row r="168" spans="1:3" ht="13.8" x14ac:dyDescent="0.25">
      <c r="A168" s="6" t="s">
        <v>74</v>
      </c>
      <c r="B168" s="6" t="s">
        <v>23</v>
      </c>
      <c r="C168" s="14">
        <v>697.57</v>
      </c>
    </row>
    <row r="169" spans="1:3" ht="13.8" x14ac:dyDescent="0.25">
      <c r="A169" s="6" t="s">
        <v>32</v>
      </c>
      <c r="B169" s="6" t="s">
        <v>53</v>
      </c>
      <c r="C169" s="14">
        <v>689.43</v>
      </c>
    </row>
    <row r="170" spans="1:3" ht="13.8" x14ac:dyDescent="0.25">
      <c r="A170" s="6" t="s">
        <v>13</v>
      </c>
      <c r="B170" s="6" t="s">
        <v>55</v>
      </c>
      <c r="C170" s="14">
        <v>688.83</v>
      </c>
    </row>
    <row r="171" spans="1:3" ht="13.8" x14ac:dyDescent="0.25">
      <c r="A171" s="6" t="s">
        <v>40</v>
      </c>
      <c r="B171" s="6" t="s">
        <v>59</v>
      </c>
      <c r="C171" s="14">
        <v>682.24</v>
      </c>
    </row>
    <row r="172" spans="1:3" ht="13.8" x14ac:dyDescent="0.25">
      <c r="A172" s="6" t="s">
        <v>25</v>
      </c>
      <c r="B172" s="6" t="s">
        <v>55</v>
      </c>
      <c r="C172" s="14">
        <v>679.71</v>
      </c>
    </row>
    <row r="173" spans="1:3" ht="13.8" x14ac:dyDescent="0.25">
      <c r="A173" s="6" t="s">
        <v>22</v>
      </c>
      <c r="B173" s="6" t="s">
        <v>51</v>
      </c>
      <c r="C173" s="14">
        <v>675.54</v>
      </c>
    </row>
    <row r="174" spans="1:3" ht="13.8" x14ac:dyDescent="0.25">
      <c r="A174" s="6" t="s">
        <v>63</v>
      </c>
      <c r="B174" s="6" t="s">
        <v>69</v>
      </c>
      <c r="C174" s="14">
        <v>662.61</v>
      </c>
    </row>
    <row r="175" spans="1:3" ht="13.8" x14ac:dyDescent="0.25">
      <c r="A175" s="6" t="s">
        <v>67</v>
      </c>
      <c r="B175" s="6" t="s">
        <v>69</v>
      </c>
      <c r="C175" s="14">
        <v>661.09</v>
      </c>
    </row>
    <row r="176" spans="1:3" ht="13.8" x14ac:dyDescent="0.25">
      <c r="A176" s="6" t="s">
        <v>30</v>
      </c>
      <c r="B176" s="6" t="s">
        <v>31</v>
      </c>
      <c r="C176" s="14">
        <v>645.02</v>
      </c>
    </row>
    <row r="177" spans="1:3" ht="13.8" x14ac:dyDescent="0.25">
      <c r="A177" s="6" t="s">
        <v>75</v>
      </c>
      <c r="B177" s="6" t="s">
        <v>48</v>
      </c>
      <c r="C177" s="14">
        <v>640.64</v>
      </c>
    </row>
    <row r="178" spans="1:3" ht="13.8" x14ac:dyDescent="0.25">
      <c r="A178" s="6" t="s">
        <v>28</v>
      </c>
      <c r="B178" s="6" t="s">
        <v>45</v>
      </c>
      <c r="C178" s="14">
        <v>636.70000000000005</v>
      </c>
    </row>
    <row r="179" spans="1:3" ht="13.8" x14ac:dyDescent="0.25">
      <c r="A179" s="6" t="s">
        <v>22</v>
      </c>
      <c r="B179" s="6" t="s">
        <v>55</v>
      </c>
      <c r="C179" s="14">
        <v>608.66</v>
      </c>
    </row>
    <row r="180" spans="1:3" ht="13.8" x14ac:dyDescent="0.25">
      <c r="A180" s="6" t="s">
        <v>74</v>
      </c>
      <c r="B180" s="6" t="s">
        <v>38</v>
      </c>
      <c r="C180" s="14">
        <v>585.97</v>
      </c>
    </row>
    <row r="181" spans="1:3" ht="13.8" x14ac:dyDescent="0.25">
      <c r="A181" s="6" t="s">
        <v>22</v>
      </c>
      <c r="B181" s="6" t="s">
        <v>43</v>
      </c>
      <c r="C181" s="14">
        <v>585.16</v>
      </c>
    </row>
    <row r="182" spans="1:3" ht="13.8" x14ac:dyDescent="0.25">
      <c r="A182" s="6" t="s">
        <v>60</v>
      </c>
      <c r="B182" s="6" t="s">
        <v>61</v>
      </c>
      <c r="C182" s="14">
        <v>580.42999999999995</v>
      </c>
    </row>
    <row r="183" spans="1:3" ht="13.8" x14ac:dyDescent="0.25">
      <c r="A183" s="6" t="s">
        <v>72</v>
      </c>
      <c r="B183" s="6" t="s">
        <v>31</v>
      </c>
      <c r="C183" s="14">
        <v>573.32000000000005</v>
      </c>
    </row>
    <row r="184" spans="1:3" ht="13.8" x14ac:dyDescent="0.25">
      <c r="A184" s="6" t="s">
        <v>40</v>
      </c>
      <c r="B184" s="6" t="s">
        <v>56</v>
      </c>
      <c r="C184" s="14">
        <v>556.41999999999996</v>
      </c>
    </row>
    <row r="185" spans="1:3" ht="13.8" x14ac:dyDescent="0.25">
      <c r="A185" s="6" t="s">
        <v>58</v>
      </c>
      <c r="B185" s="6" t="s">
        <v>43</v>
      </c>
      <c r="C185" s="14">
        <v>545.44000000000005</v>
      </c>
    </row>
    <row r="186" spans="1:3" ht="13.8" x14ac:dyDescent="0.25">
      <c r="A186" s="6" t="s">
        <v>70</v>
      </c>
      <c r="B186" s="6" t="s">
        <v>55</v>
      </c>
      <c r="C186" s="14">
        <v>539.77</v>
      </c>
    </row>
    <row r="187" spans="1:3" ht="13.8" x14ac:dyDescent="0.25">
      <c r="A187" s="6" t="s">
        <v>41</v>
      </c>
      <c r="B187" s="6" t="s">
        <v>42</v>
      </c>
      <c r="C187" s="14">
        <v>521.66999999999996</v>
      </c>
    </row>
    <row r="188" spans="1:3" ht="13.8" x14ac:dyDescent="0.25">
      <c r="A188" s="6" t="s">
        <v>72</v>
      </c>
      <c r="B188" s="6" t="s">
        <v>45</v>
      </c>
      <c r="C188" s="14">
        <v>518.07000000000005</v>
      </c>
    </row>
    <row r="189" spans="1:3" ht="13.8" x14ac:dyDescent="0.25">
      <c r="A189" s="6" t="s">
        <v>58</v>
      </c>
      <c r="B189" s="6" t="s">
        <v>38</v>
      </c>
      <c r="C189" s="14">
        <v>511.74</v>
      </c>
    </row>
    <row r="190" spans="1:3" ht="13.8" x14ac:dyDescent="0.25">
      <c r="A190" s="6" t="s">
        <v>32</v>
      </c>
      <c r="B190" s="6" t="s">
        <v>33</v>
      </c>
      <c r="C190" s="14">
        <v>501.54</v>
      </c>
    </row>
    <row r="191" spans="1:3" ht="13.8" x14ac:dyDescent="0.25">
      <c r="A191" s="6" t="s">
        <v>52</v>
      </c>
      <c r="B191" s="6" t="s">
        <v>59</v>
      </c>
      <c r="C191" s="14">
        <v>499.18</v>
      </c>
    </row>
    <row r="192" spans="1:3" ht="13.8" x14ac:dyDescent="0.25">
      <c r="A192" s="6" t="s">
        <v>35</v>
      </c>
      <c r="B192" s="6" t="s">
        <v>55</v>
      </c>
      <c r="C192" s="14">
        <v>488.99</v>
      </c>
    </row>
    <row r="193" spans="1:3" ht="13.8" x14ac:dyDescent="0.25">
      <c r="A193" s="6" t="s">
        <v>13</v>
      </c>
      <c r="B193" s="6" t="s">
        <v>26</v>
      </c>
      <c r="C193" s="14">
        <v>472.38</v>
      </c>
    </row>
    <row r="194" spans="1:3" ht="13.8" x14ac:dyDescent="0.25">
      <c r="A194" s="6" t="s">
        <v>41</v>
      </c>
      <c r="B194" s="6" t="s">
        <v>26</v>
      </c>
      <c r="C194" s="14">
        <v>458.54</v>
      </c>
    </row>
    <row r="195" spans="1:3" ht="13.8" x14ac:dyDescent="0.25">
      <c r="A195" s="6" t="s">
        <v>67</v>
      </c>
      <c r="B195" s="6" t="s">
        <v>38</v>
      </c>
      <c r="C195" s="14">
        <v>438.76</v>
      </c>
    </row>
    <row r="196" spans="1:3" ht="13.8" x14ac:dyDescent="0.25">
      <c r="A196" s="6" t="s">
        <v>49</v>
      </c>
      <c r="B196" s="6" t="s">
        <v>14</v>
      </c>
      <c r="C196" s="14">
        <v>388.56</v>
      </c>
    </row>
    <row r="197" spans="1:3" ht="13.8" x14ac:dyDescent="0.25">
      <c r="A197" s="6" t="s">
        <v>49</v>
      </c>
      <c r="B197" s="6" t="s">
        <v>45</v>
      </c>
      <c r="C197" s="14">
        <v>388.23</v>
      </c>
    </row>
    <row r="198" spans="1:3" ht="13.8" x14ac:dyDescent="0.25">
      <c r="A198" s="6" t="s">
        <v>58</v>
      </c>
      <c r="B198" s="6" t="s">
        <v>36</v>
      </c>
      <c r="C198" s="14">
        <v>379.77</v>
      </c>
    </row>
    <row r="199" spans="1:3" ht="13.8" x14ac:dyDescent="0.25">
      <c r="A199" s="6" t="s">
        <v>28</v>
      </c>
      <c r="B199" s="6" t="s">
        <v>71</v>
      </c>
      <c r="C199" s="14">
        <v>336.66</v>
      </c>
    </row>
    <row r="200" spans="1:3" ht="13.8" x14ac:dyDescent="0.25">
      <c r="A200" s="6" t="s">
        <v>52</v>
      </c>
      <c r="B200" s="6" t="s">
        <v>48</v>
      </c>
      <c r="C200" s="14">
        <v>309.42</v>
      </c>
    </row>
    <row r="201" spans="1:3" ht="13.8" x14ac:dyDescent="0.25">
      <c r="A201" s="6" t="s">
        <v>74</v>
      </c>
      <c r="B201" s="6" t="s">
        <v>23</v>
      </c>
      <c r="C201" s="14">
        <v>258.51</v>
      </c>
    </row>
  </sheetData>
  <autoFilter ref="A1:C201" xr:uid="{F40F5262-7919-4F41-84A2-8771D5422270}">
    <sortState xmlns:xlrd2="http://schemas.microsoft.com/office/spreadsheetml/2017/richdata2" ref="A2:C201">
      <sortCondition descending="1" ref="C1:C201"/>
    </sortState>
  </autoFilter>
  <conditionalFormatting sqref="A1:C1 A2:B201">
    <cfRule type="top10" dxfId="4" priority="3" rank="10"/>
    <cfRule type="top10" dxfId="3" priority="4" rank="10"/>
  </conditionalFormatting>
  <conditionalFormatting sqref="A1:C201">
    <cfRule type="dataBar" priority="1">
      <dataBar>
        <cfvo type="min"/>
        <cfvo type="max"/>
        <color rgb="FF63C384"/>
      </dataBar>
      <extLst>
        <ext xmlns:x14="http://schemas.microsoft.com/office/spreadsheetml/2009/9/main" uri="{B025F937-C7B1-47D3-B67F-A62EFF666E3E}">
          <x14:id>{2C0831E2-C778-48CC-90D3-245E26A50C20}</x14:id>
        </ext>
      </extLs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2C0831E2-C778-48CC-90D3-245E26A50C20}">
            <x14:dataBar minLength="0" maxLength="100" border="1" negativeBarBorderColorSameAsPositive="0">
              <x14:cfvo type="autoMin"/>
              <x14:cfvo type="autoMax"/>
              <x14:borderColor rgb="FF63C384"/>
              <x14:negativeFillColor rgb="FFFF0000"/>
              <x14:negativeBorderColor rgb="FFFF0000"/>
              <x14:axisColor rgb="FF000000"/>
            </x14:dataBar>
          </x14:cfRule>
          <xm:sqref>A1:C201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BBA12-9C30-4C13-933F-8890453E5B1A}">
  <dimension ref="A1:E8"/>
  <sheetViews>
    <sheetView view="pageBreakPreview" zoomScale="60" zoomScaleNormal="103" workbookViewId="0">
      <selection activeCell="B7" sqref="B7"/>
    </sheetView>
  </sheetViews>
  <sheetFormatPr defaultRowHeight="13.8" x14ac:dyDescent="0.25"/>
  <cols>
    <col min="1" max="1" width="23.59765625" customWidth="1"/>
    <col min="2" max="2" width="24.796875" customWidth="1"/>
    <col min="3" max="3" width="17.59765625" customWidth="1"/>
    <col min="4" max="4" width="23" customWidth="1"/>
    <col min="5" max="5" width="22.296875" customWidth="1"/>
  </cols>
  <sheetData>
    <row r="1" spans="1:5" ht="14.4" x14ac:dyDescent="0.3">
      <c r="A1" s="18" t="s">
        <v>121</v>
      </c>
      <c r="B1" s="14">
        <f>SUMIF(Dataset!E:E,"&gt;0",Dataset!E:E)</f>
        <v>195217.75999999992</v>
      </c>
      <c r="D1" s="37" t="s">
        <v>134</v>
      </c>
      <c r="E1" s="37" t="s">
        <v>135</v>
      </c>
    </row>
    <row r="2" spans="1:5" ht="14.4" x14ac:dyDescent="0.3">
      <c r="A2" s="18" t="s">
        <v>128</v>
      </c>
      <c r="B2" s="14">
        <f>SUMIF(Dataset!I:I,"&gt;0",Dataset!I:I)</f>
        <v>68287.010000000009</v>
      </c>
      <c r="D2" s="43">
        <v>0</v>
      </c>
      <c r="E2" s="40" cm="1">
        <f t="array" ref="E2">SUMPRODUCT(Dataset!E$2:E$201*(1-D2)*0.35)</f>
        <v>68326.215999999971</v>
      </c>
    </row>
    <row r="3" spans="1:5" ht="14.4" x14ac:dyDescent="0.3">
      <c r="A3" s="18" t="s">
        <v>129</v>
      </c>
      <c r="B3" s="42">
        <f>AVERAGE(Dataset!G:G)</f>
        <v>9.7250000000000003E-2</v>
      </c>
      <c r="D3" s="43">
        <v>0.05</v>
      </c>
      <c r="E3" s="40" cm="1">
        <f t="array" ref="E3">SUMPRODUCT(Dataset!E$2:E$201*(1-D3)*0.35)</f>
        <v>64909.905200000001</v>
      </c>
    </row>
    <row r="4" spans="1:5" ht="14.4" x14ac:dyDescent="0.3">
      <c r="A4" s="13"/>
      <c r="D4" s="43">
        <v>0.1</v>
      </c>
      <c r="E4" s="40" cm="1">
        <f t="array" ref="E4">SUMPRODUCT(Dataset!E$2:E$201*(1-D4)*0.35)</f>
        <v>61493.594399999973</v>
      </c>
    </row>
    <row r="5" spans="1:5" ht="14.4" x14ac:dyDescent="0.3">
      <c r="A5" s="18" t="s">
        <v>130</v>
      </c>
      <c r="B5" s="14">
        <v>10</v>
      </c>
      <c r="D5" s="44">
        <v>0.15</v>
      </c>
      <c r="E5" s="40" cm="1">
        <f t="array" ref="E5">SUMPRODUCT(Dataset!E$2:E$201*(1-D5)*0.35)</f>
        <v>58077.283600000017</v>
      </c>
    </row>
    <row r="6" spans="1:5" ht="14.4" x14ac:dyDescent="0.3">
      <c r="A6" s="18" t="s">
        <v>131</v>
      </c>
      <c r="B6" s="14" cm="1">
        <f t="array" ref="B6">SUMPRODUCT(Dataset!E$2:E$201*(1-(B5/100))*0.35)</f>
        <v>61493.594399999973</v>
      </c>
      <c r="D6" s="44">
        <v>0.2</v>
      </c>
      <c r="E6" s="40" cm="1">
        <f t="array" ref="E6">SUMPRODUCT(Dataset!E$2:E$201*(1-D6)*0.35)</f>
        <v>54660.97280000001</v>
      </c>
    </row>
    <row r="7" spans="1:5" ht="14.4" x14ac:dyDescent="0.3">
      <c r="A7" s="18" t="s">
        <v>132</v>
      </c>
      <c r="B7" s="14">
        <f>B6-B2</f>
        <v>-6793.4156000000366</v>
      </c>
      <c r="D7" s="44">
        <v>0.25</v>
      </c>
      <c r="E7" s="40" cm="1">
        <f t="array" ref="E7">SUMPRODUCT(Dataset!E$2:E$201*(1-D7)*0.35)</f>
        <v>51244.661999999989</v>
      </c>
    </row>
    <row r="8" spans="1:5" ht="14.4" x14ac:dyDescent="0.3">
      <c r="A8" s="18" t="s">
        <v>133</v>
      </c>
      <c r="B8" s="14">
        <f>B7/B2</f>
        <v>-9.9483278005583139E-2</v>
      </c>
      <c r="D8" s="44">
        <v>0.3</v>
      </c>
      <c r="E8" s="40" cm="1">
        <f t="array" ref="E8">SUMPRODUCT(Dataset!E$2:E$201*(1-D8)*0.35)</f>
        <v>47828.351199999983</v>
      </c>
    </row>
  </sheetData>
  <conditionalFormatting sqref="E2:E8">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97EBF-4FC8-4344-8FE7-5011320DD0B1}">
  <dimension ref="A1:I223"/>
  <sheetViews>
    <sheetView view="pageBreakPreview" zoomScale="60" zoomScaleNormal="102" workbookViewId="0">
      <selection activeCell="C21" activeCellId="1" sqref="C3 C21"/>
    </sheetView>
  </sheetViews>
  <sheetFormatPr defaultRowHeight="14.4" x14ac:dyDescent="0.25"/>
  <cols>
    <col min="1" max="1" width="21.59765625" customWidth="1"/>
    <col min="2" max="2" width="23" customWidth="1"/>
    <col min="3" max="3" width="20.296875" customWidth="1"/>
    <col min="4" max="4" width="21.5" customWidth="1"/>
    <col min="5" max="5" width="14.5" customWidth="1"/>
    <col min="6" max="6" width="21.59765625" customWidth="1"/>
    <col min="7" max="7" width="18.3984375" customWidth="1"/>
    <col min="8" max="8" width="16.09765625" customWidth="1"/>
    <col min="9" max="9" width="13.796875" customWidth="1"/>
  </cols>
  <sheetData>
    <row r="1" spans="1:9" x14ac:dyDescent="0.3">
      <c r="A1" s="13" t="s">
        <v>79</v>
      </c>
    </row>
    <row r="3" spans="1:9" ht="15" x14ac:dyDescent="0.35">
      <c r="A3" s="73" t="s">
        <v>80</v>
      </c>
      <c r="B3" s="74"/>
    </row>
    <row r="4" spans="1:9" x14ac:dyDescent="0.3">
      <c r="A4" s="18" t="s">
        <v>81</v>
      </c>
      <c r="B4" s="14">
        <v>0.97220677125611499</v>
      </c>
    </row>
    <row r="5" spans="1:9" x14ac:dyDescent="0.3">
      <c r="A5" s="18" t="s">
        <v>82</v>
      </c>
      <c r="B5" s="14">
        <v>0.94518600607624026</v>
      </c>
    </row>
    <row r="6" spans="1:9" x14ac:dyDescent="0.3">
      <c r="A6" s="18" t="s">
        <v>83</v>
      </c>
      <c r="B6" s="14">
        <v>0.94013550102573518</v>
      </c>
    </row>
    <row r="7" spans="1:9" x14ac:dyDescent="0.3">
      <c r="A7" s="18" t="s">
        <v>84</v>
      </c>
      <c r="B7" s="14">
        <v>86.253546983819348</v>
      </c>
    </row>
    <row r="8" spans="1:9" x14ac:dyDescent="0.3">
      <c r="A8" s="18" t="s">
        <v>85</v>
      </c>
      <c r="B8" s="14">
        <v>199</v>
      </c>
    </row>
    <row r="10" spans="1:9" x14ac:dyDescent="0.3">
      <c r="A10" s="13" t="s">
        <v>86</v>
      </c>
    </row>
    <row r="11" spans="1:9" ht="15" x14ac:dyDescent="0.35">
      <c r="A11" s="17"/>
      <c r="B11" s="19" t="s">
        <v>91</v>
      </c>
      <c r="C11" s="19" t="s">
        <v>92</v>
      </c>
      <c r="D11" s="19" t="s">
        <v>93</v>
      </c>
      <c r="E11" s="19" t="s">
        <v>94</v>
      </c>
      <c r="F11" s="19" t="s">
        <v>95</v>
      </c>
    </row>
    <row r="12" spans="1:9" x14ac:dyDescent="0.3">
      <c r="A12" s="18" t="s">
        <v>87</v>
      </c>
      <c r="B12" s="14">
        <v>1</v>
      </c>
      <c r="C12" s="14">
        <v>25400657.17667662</v>
      </c>
      <c r="D12" s="14">
        <v>25400657.17667662</v>
      </c>
      <c r="E12" s="14">
        <v>3414.2162576840551</v>
      </c>
      <c r="F12" s="14">
        <v>2.1992016214108424E-126</v>
      </c>
    </row>
    <row r="13" spans="1:9" x14ac:dyDescent="0.3">
      <c r="A13" s="18" t="s">
        <v>88</v>
      </c>
      <c r="B13" s="14">
        <v>198</v>
      </c>
      <c r="C13" s="14">
        <v>1473055.5247234064</v>
      </c>
      <c r="D13" s="14">
        <v>7439.6743672899311</v>
      </c>
      <c r="E13" s="14"/>
      <c r="F13" s="14"/>
    </row>
    <row r="14" spans="1:9" x14ac:dyDescent="0.3">
      <c r="A14" s="18" t="s">
        <v>89</v>
      </c>
      <c r="B14" s="14">
        <v>199</v>
      </c>
      <c r="C14" s="14">
        <v>26873712.701400027</v>
      </c>
      <c r="D14" s="14"/>
      <c r="E14" s="14"/>
      <c r="F14" s="14"/>
    </row>
    <row r="16" spans="1:9" ht="15" x14ac:dyDescent="0.35">
      <c r="A16" s="17"/>
      <c r="B16" s="19" t="s">
        <v>96</v>
      </c>
      <c r="C16" s="19" t="s">
        <v>84</v>
      </c>
      <c r="D16" s="19" t="s">
        <v>97</v>
      </c>
      <c r="E16" s="19" t="s">
        <v>98</v>
      </c>
      <c r="F16" s="19" t="s">
        <v>99</v>
      </c>
      <c r="G16" s="19" t="s">
        <v>100</v>
      </c>
      <c r="H16" s="19" t="s">
        <v>101</v>
      </c>
      <c r="I16" s="19" t="s">
        <v>102</v>
      </c>
    </row>
    <row r="17" spans="1:9" x14ac:dyDescent="0.3">
      <c r="A17" s="18" t="s">
        <v>90</v>
      </c>
      <c r="B17" s="14">
        <v>0</v>
      </c>
      <c r="C17" s="14" t="e">
        <v>#N/A</v>
      </c>
      <c r="D17" s="14" t="e">
        <v>#N/A</v>
      </c>
      <c r="E17" s="14" t="e">
        <v>#N/A</v>
      </c>
      <c r="F17" s="14" t="e">
        <v>#N/A</v>
      </c>
      <c r="G17" s="14" t="e">
        <v>#N/A</v>
      </c>
      <c r="H17" s="14" t="e">
        <v>#N/A</v>
      </c>
      <c r="I17" s="14" t="e">
        <v>#N/A</v>
      </c>
    </row>
    <row r="18" spans="1:9" ht="13.8" x14ac:dyDescent="0.25">
      <c r="A18" s="14">
        <v>1036.0899999999999</v>
      </c>
      <c r="B18" s="14">
        <v>0.35004433823753134</v>
      </c>
      <c r="C18" s="14">
        <v>5.990699625842818E-3</v>
      </c>
      <c r="D18" s="14">
        <v>58.431295190882551</v>
      </c>
      <c r="E18" s="14">
        <v>8.2305322350776245E-127</v>
      </c>
      <c r="F18" s="14">
        <v>0.33823057387090188</v>
      </c>
      <c r="G18" s="14">
        <v>0.36185810260416079</v>
      </c>
      <c r="H18" s="14">
        <v>0.33823057387090188</v>
      </c>
      <c r="I18" s="14">
        <v>0.36185810260416079</v>
      </c>
    </row>
    <row r="22" spans="1:9" x14ac:dyDescent="0.3">
      <c r="A22" s="13" t="s">
        <v>103</v>
      </c>
      <c r="F22" s="13" t="s">
        <v>108</v>
      </c>
    </row>
    <row r="24" spans="1:9" ht="15" x14ac:dyDescent="0.35">
      <c r="A24" s="19" t="s">
        <v>104</v>
      </c>
      <c r="B24" s="19" t="s">
        <v>105</v>
      </c>
      <c r="C24" s="19" t="s">
        <v>106</v>
      </c>
      <c r="D24" s="19" t="s">
        <v>107</v>
      </c>
      <c r="E24" s="13"/>
      <c r="F24" s="19" t="s">
        <v>109</v>
      </c>
      <c r="G24" s="19">
        <v>331.55</v>
      </c>
    </row>
    <row r="25" spans="1:9" ht="13.8" x14ac:dyDescent="0.25">
      <c r="A25" s="14">
        <v>1</v>
      </c>
      <c r="B25" s="14">
        <v>385.49682881422848</v>
      </c>
      <c r="C25" s="14">
        <v>55.013171185771512</v>
      </c>
      <c r="D25" s="14">
        <v>0.63941623618534149</v>
      </c>
      <c r="F25" s="14">
        <v>0.25125628140703515</v>
      </c>
      <c r="G25" s="14">
        <v>64.63</v>
      </c>
    </row>
    <row r="26" spans="1:9" ht="13.8" x14ac:dyDescent="0.25">
      <c r="A26" s="14">
        <v>2</v>
      </c>
      <c r="B26" s="14">
        <v>249.70062823836062</v>
      </c>
      <c r="C26" s="14">
        <v>35.639371761639353</v>
      </c>
      <c r="D26" s="14">
        <v>0.4142352178696348</v>
      </c>
      <c r="F26" s="14">
        <v>0.75376884422110546</v>
      </c>
      <c r="G26" s="14">
        <v>82.57</v>
      </c>
    </row>
    <row r="27" spans="1:9" ht="13.8" x14ac:dyDescent="0.25">
      <c r="A27" s="14">
        <v>3</v>
      </c>
      <c r="B27" s="14">
        <v>266.35923829508471</v>
      </c>
      <c r="C27" s="14">
        <v>-104.65923829508472</v>
      </c>
      <c r="D27" s="14">
        <v>-1.2164508024212224</v>
      </c>
      <c r="F27" s="14">
        <v>1.2562814070351758</v>
      </c>
      <c r="G27" s="14">
        <v>91.71</v>
      </c>
    </row>
    <row r="28" spans="1:9" ht="13.8" x14ac:dyDescent="0.25">
      <c r="A28" s="14">
        <v>4</v>
      </c>
      <c r="B28" s="14">
        <v>296.48755448718902</v>
      </c>
      <c r="C28" s="14">
        <v>-25.447554487188995</v>
      </c>
      <c r="D28" s="14">
        <v>-0.29577606888672203</v>
      </c>
      <c r="F28" s="14">
        <v>1.7587939698492461</v>
      </c>
      <c r="G28" s="14">
        <v>111.39</v>
      </c>
    </row>
    <row r="29" spans="1:9" ht="13.8" x14ac:dyDescent="0.25">
      <c r="A29" s="14">
        <v>5</v>
      </c>
      <c r="B29" s="14">
        <v>338.01681477568974</v>
      </c>
      <c r="C29" s="14">
        <v>-33.836814775689732</v>
      </c>
      <c r="D29" s="14">
        <v>-0.39328415872102856</v>
      </c>
      <c r="F29" s="14">
        <v>2.2613065326633164</v>
      </c>
      <c r="G29" s="14">
        <v>114.7</v>
      </c>
    </row>
    <row r="30" spans="1:9" ht="13.8" x14ac:dyDescent="0.25">
      <c r="A30" s="14">
        <v>6</v>
      </c>
      <c r="B30" s="14">
        <v>461.19391695809463</v>
      </c>
      <c r="C30" s="14">
        <v>-148.28391695809461</v>
      </c>
      <c r="D30" s="14">
        <v>-1.723498973509227</v>
      </c>
      <c r="F30" s="14">
        <v>2.7638190954773867</v>
      </c>
      <c r="G30" s="14">
        <v>121.54</v>
      </c>
    </row>
    <row r="31" spans="1:9" ht="13.8" x14ac:dyDescent="0.25">
      <c r="A31" s="14">
        <v>7</v>
      </c>
      <c r="B31" s="14">
        <v>376.11214010608029</v>
      </c>
      <c r="C31" s="14">
        <v>-75.262140106080267</v>
      </c>
      <c r="D31" s="14">
        <v>-0.87476932008475683</v>
      </c>
      <c r="F31" s="14">
        <v>3.266331658291457</v>
      </c>
      <c r="G31" s="14">
        <v>134.66</v>
      </c>
    </row>
    <row r="32" spans="1:9" ht="13.8" x14ac:dyDescent="0.25">
      <c r="A32" s="14">
        <v>8</v>
      </c>
      <c r="B32" s="14">
        <v>175.56123739965147</v>
      </c>
      <c r="C32" s="14">
        <v>15.028762600348529</v>
      </c>
      <c r="D32" s="14">
        <v>0.17467880162711466</v>
      </c>
      <c r="F32" s="14">
        <v>3.7688442211055273</v>
      </c>
      <c r="G32" s="14">
        <v>144.56</v>
      </c>
    </row>
    <row r="33" spans="1:7" ht="13.8" x14ac:dyDescent="0.25">
      <c r="A33" s="14">
        <v>9</v>
      </c>
      <c r="B33" s="14">
        <v>258.09119102591421</v>
      </c>
      <c r="C33" s="14">
        <v>92.128808974085814</v>
      </c>
      <c r="D33" s="14">
        <v>1.0708100443714155</v>
      </c>
      <c r="F33" s="14">
        <v>4.2713567839195976</v>
      </c>
      <c r="G33" s="14">
        <v>148.32</v>
      </c>
    </row>
    <row r="34" spans="1:7" ht="13.8" x14ac:dyDescent="0.25">
      <c r="A34" s="14">
        <v>10</v>
      </c>
      <c r="B34" s="14">
        <v>550.55673606675407</v>
      </c>
      <c r="C34" s="14">
        <v>121.82326393324593</v>
      </c>
      <c r="D34" s="14">
        <v>1.4159476944342442</v>
      </c>
      <c r="F34" s="14">
        <v>4.7738693467336679</v>
      </c>
      <c r="G34" s="14">
        <v>150.18</v>
      </c>
    </row>
    <row r="35" spans="1:7" ht="13.8" x14ac:dyDescent="0.25">
      <c r="A35" s="14">
        <v>11</v>
      </c>
      <c r="B35" s="14">
        <v>470.1550520169755</v>
      </c>
      <c r="C35" s="14">
        <v>-13.495052016975478</v>
      </c>
      <c r="D35" s="14">
        <v>-0.1568525351625546</v>
      </c>
      <c r="F35" s="14">
        <v>5.2763819095477382</v>
      </c>
      <c r="G35" s="14">
        <v>151.16</v>
      </c>
    </row>
    <row r="36" spans="1:7" ht="13.8" x14ac:dyDescent="0.25">
      <c r="A36" s="14">
        <v>12</v>
      </c>
      <c r="B36" s="14">
        <v>417.10583255707758</v>
      </c>
      <c r="C36" s="14">
        <v>35.694167442922435</v>
      </c>
      <c r="D36" s="14">
        <v>0.41487210622800491</v>
      </c>
      <c r="F36" s="14">
        <v>5.7788944723618085</v>
      </c>
      <c r="G36" s="14">
        <v>155.19999999999999</v>
      </c>
    </row>
    <row r="37" spans="1:7" ht="13.8" x14ac:dyDescent="0.25">
      <c r="A37" s="14">
        <v>13</v>
      </c>
      <c r="B37" s="14">
        <v>287.83445844595724</v>
      </c>
      <c r="C37" s="14">
        <v>-14.424458445957214</v>
      </c>
      <c r="D37" s="14">
        <v>-0.16765499478988949</v>
      </c>
      <c r="F37" s="14">
        <v>6.2814070351758788</v>
      </c>
      <c r="G37" s="14">
        <v>159.74</v>
      </c>
    </row>
    <row r="38" spans="1:7" ht="13.8" x14ac:dyDescent="0.25">
      <c r="A38" s="14">
        <v>14</v>
      </c>
      <c r="B38" s="14">
        <v>182.60762992837297</v>
      </c>
      <c r="C38" s="14">
        <v>-27.407629928372984</v>
      </c>
      <c r="D38" s="14">
        <v>-0.31855795973625989</v>
      </c>
      <c r="F38" s="14">
        <v>6.7839195979899491</v>
      </c>
      <c r="G38" s="14">
        <v>160.24</v>
      </c>
    </row>
    <row r="39" spans="1:7" ht="13.8" x14ac:dyDescent="0.25">
      <c r="A39" s="14">
        <v>15</v>
      </c>
      <c r="B39" s="14">
        <v>526.09213726733299</v>
      </c>
      <c r="C39" s="14">
        <v>-225.50213726733301</v>
      </c>
      <c r="D39" s="14">
        <v>-2.6210037479264825</v>
      </c>
      <c r="F39" s="14">
        <v>7.2864321608040195</v>
      </c>
      <c r="G39" s="14">
        <v>161.26</v>
      </c>
    </row>
    <row r="40" spans="1:7" ht="13.8" x14ac:dyDescent="0.25">
      <c r="A40" s="14">
        <v>16</v>
      </c>
      <c r="B40" s="14">
        <v>307.19191035049278</v>
      </c>
      <c r="C40" s="14">
        <v>-8.8119103504927807</v>
      </c>
      <c r="D40" s="14">
        <v>-0.10242053727257294</v>
      </c>
      <c r="F40" s="14">
        <v>7.7889447236180898</v>
      </c>
      <c r="G40" s="14">
        <v>161.69999999999999</v>
      </c>
    </row>
    <row r="41" spans="1:7" ht="13.8" x14ac:dyDescent="0.25">
      <c r="A41" s="14">
        <v>17</v>
      </c>
      <c r="B41" s="14">
        <v>222.87323015583621</v>
      </c>
      <c r="C41" s="14">
        <v>-19.133230155836202</v>
      </c>
      <c r="D41" s="14">
        <v>-0.22238488981120325</v>
      </c>
      <c r="F41" s="14">
        <v>8.2914572864321592</v>
      </c>
      <c r="G41" s="14">
        <v>165.97</v>
      </c>
    </row>
    <row r="42" spans="1:7" ht="13.8" x14ac:dyDescent="0.25">
      <c r="A42" s="14">
        <v>18</v>
      </c>
      <c r="B42" s="14">
        <v>527.21577959307547</v>
      </c>
      <c r="C42" s="14">
        <v>-45.255779593075488</v>
      </c>
      <c r="D42" s="14">
        <v>-0.52600640227266138</v>
      </c>
      <c r="F42" s="14">
        <v>8.7939698492462313</v>
      </c>
      <c r="G42" s="14">
        <v>172.21</v>
      </c>
    </row>
    <row r="43" spans="1:7" ht="13.8" x14ac:dyDescent="0.25">
      <c r="A43" s="14">
        <v>19</v>
      </c>
      <c r="B43" s="14">
        <v>225.78559904997246</v>
      </c>
      <c r="C43" s="14">
        <v>-64.52559904997247</v>
      </c>
      <c r="D43" s="14">
        <v>-0.7499788649306024</v>
      </c>
      <c r="F43" s="14">
        <v>9.2964824120602998</v>
      </c>
      <c r="G43" s="14">
        <v>172.26</v>
      </c>
    </row>
    <row r="44" spans="1:7" ht="13.8" x14ac:dyDescent="0.25">
      <c r="A44" s="14">
        <v>20</v>
      </c>
      <c r="B44" s="14">
        <v>333.69726764183861</v>
      </c>
      <c r="C44" s="14">
        <v>142.95273235816137</v>
      </c>
      <c r="D44" s="14">
        <v>1.6615347944258692</v>
      </c>
      <c r="F44" s="14">
        <v>9.7989949748743719</v>
      </c>
      <c r="G44" s="14">
        <v>173.99</v>
      </c>
    </row>
    <row r="45" spans="1:7" ht="13.8" x14ac:dyDescent="0.25">
      <c r="A45" s="14">
        <v>21</v>
      </c>
      <c r="B45" s="14">
        <v>136.01322806557519</v>
      </c>
      <c r="C45" s="14">
        <v>-53.443228065575198</v>
      </c>
      <c r="D45" s="14">
        <v>-0.62116884016537466</v>
      </c>
      <c r="F45" s="14">
        <v>10.30150753768844</v>
      </c>
      <c r="G45" s="14">
        <v>174.48</v>
      </c>
    </row>
    <row r="46" spans="1:7" ht="13.8" x14ac:dyDescent="0.25">
      <c r="A46" s="14">
        <v>22</v>
      </c>
      <c r="B46" s="14">
        <v>260.14245084798614</v>
      </c>
      <c r="C46" s="14">
        <v>37.127549152013842</v>
      </c>
      <c r="D46" s="14">
        <v>0.43153225356525182</v>
      </c>
      <c r="F46" s="14">
        <v>10.804020100502512</v>
      </c>
      <c r="G46" s="14">
        <v>176.59</v>
      </c>
    </row>
    <row r="47" spans="1:7" ht="13.8" x14ac:dyDescent="0.25">
      <c r="A47" s="14">
        <v>23</v>
      </c>
      <c r="B47" s="14">
        <v>247.26081920084502</v>
      </c>
      <c r="C47" s="14">
        <v>-70.670819200845017</v>
      </c>
      <c r="D47" s="14">
        <v>-0.82140455181079308</v>
      </c>
      <c r="F47" s="14">
        <v>11.306532663316581</v>
      </c>
      <c r="G47" s="14">
        <v>177.77</v>
      </c>
    </row>
    <row r="48" spans="1:7" ht="13.8" x14ac:dyDescent="0.25">
      <c r="A48" s="14">
        <v>24</v>
      </c>
      <c r="B48" s="14">
        <v>323.89952661457011</v>
      </c>
      <c r="C48" s="14">
        <v>50.850473385429893</v>
      </c>
      <c r="D48" s="14">
        <v>0.59103333982615369</v>
      </c>
      <c r="F48" s="14">
        <v>11.809045226130653</v>
      </c>
      <c r="G48" s="14">
        <v>178.91</v>
      </c>
    </row>
    <row r="49" spans="1:7" ht="13.8" x14ac:dyDescent="0.25">
      <c r="A49" s="14">
        <v>25</v>
      </c>
      <c r="B49" s="14">
        <v>410.6440140732127</v>
      </c>
      <c r="C49" s="14">
        <v>-117.36401407321273</v>
      </c>
      <c r="D49" s="14">
        <v>-1.3641179834713195</v>
      </c>
      <c r="F49" s="14">
        <v>12.311557788944722</v>
      </c>
      <c r="G49" s="14">
        <v>179.51</v>
      </c>
    </row>
    <row r="50" spans="1:7" ht="13.8" x14ac:dyDescent="0.25">
      <c r="A50" s="14">
        <v>26</v>
      </c>
      <c r="B50" s="14">
        <v>236.46895225298192</v>
      </c>
      <c r="C50" s="14">
        <v>-2.8952252981923721E-2</v>
      </c>
      <c r="D50" s="14">
        <v>-3.3651106147423001E-4</v>
      </c>
      <c r="F50" s="14">
        <v>12.814070351758794</v>
      </c>
      <c r="G50" s="14">
        <v>180.39</v>
      </c>
    </row>
    <row r="51" spans="1:7" ht="13.8" x14ac:dyDescent="0.25">
      <c r="A51" s="14">
        <v>27</v>
      </c>
      <c r="B51" s="14">
        <v>328.72313759548331</v>
      </c>
      <c r="C51" s="14">
        <v>28.126862404516714</v>
      </c>
      <c r="D51" s="14">
        <v>0.32691757458713094</v>
      </c>
      <c r="F51" s="14">
        <v>13.316582914572862</v>
      </c>
      <c r="G51" s="14">
        <v>187.57</v>
      </c>
    </row>
    <row r="52" spans="1:7" ht="13.8" x14ac:dyDescent="0.25">
      <c r="A52" s="14">
        <v>28</v>
      </c>
      <c r="B52" s="14">
        <v>344.21259956249406</v>
      </c>
      <c r="C52" s="14">
        <v>54.037400437505937</v>
      </c>
      <c r="D52" s="14">
        <v>0.62807488563623703</v>
      </c>
      <c r="F52" s="14">
        <v>13.819095477386934</v>
      </c>
      <c r="G52" s="14">
        <v>190.59</v>
      </c>
    </row>
    <row r="53" spans="1:7" ht="13.8" x14ac:dyDescent="0.25">
      <c r="A53" s="14">
        <v>29</v>
      </c>
      <c r="B53" s="14">
        <v>280.45902423929249</v>
      </c>
      <c r="C53" s="14">
        <v>-120.21902423929248</v>
      </c>
      <c r="D53" s="14">
        <v>-1.3973016704923971</v>
      </c>
      <c r="F53" s="14">
        <v>14.321608040201003</v>
      </c>
      <c r="G53" s="14">
        <v>192.76</v>
      </c>
    </row>
    <row r="54" spans="1:7" ht="13.8" x14ac:dyDescent="0.25">
      <c r="A54" s="14">
        <v>30</v>
      </c>
      <c r="B54" s="14">
        <v>507.81282192456911</v>
      </c>
      <c r="C54" s="14">
        <v>-181.40282192456908</v>
      </c>
      <c r="D54" s="14">
        <v>-2.1084388906925549</v>
      </c>
      <c r="F54" s="14">
        <v>14.824120603015075</v>
      </c>
      <c r="G54" s="14">
        <v>195.33</v>
      </c>
    </row>
    <row r="55" spans="1:7" ht="13.8" x14ac:dyDescent="0.25">
      <c r="A55" s="14">
        <v>31</v>
      </c>
      <c r="B55" s="14">
        <v>358.16886732802448</v>
      </c>
      <c r="C55" s="14">
        <v>30.651132671975517</v>
      </c>
      <c r="D55" s="14">
        <v>0.35625708290383257</v>
      </c>
      <c r="F55" s="14">
        <v>15.326633165829143</v>
      </c>
      <c r="G55" s="14">
        <v>197.35</v>
      </c>
    </row>
    <row r="56" spans="1:7" ht="13.8" x14ac:dyDescent="0.25">
      <c r="A56" s="14">
        <v>32</v>
      </c>
      <c r="B56" s="14">
        <v>298.83985244014525</v>
      </c>
      <c r="C56" s="14">
        <v>-44.859852440145261</v>
      </c>
      <c r="D56" s="14">
        <v>-0.52140455430655641</v>
      </c>
      <c r="F56" s="14">
        <v>15.829145728643216</v>
      </c>
      <c r="G56" s="14">
        <v>201.11</v>
      </c>
    </row>
    <row r="57" spans="1:7" ht="13.8" x14ac:dyDescent="0.25">
      <c r="A57" s="14">
        <v>33</v>
      </c>
      <c r="B57" s="14">
        <v>338.80441453672421</v>
      </c>
      <c r="C57" s="14">
        <v>-121.02441453672421</v>
      </c>
      <c r="D57" s="14">
        <v>-1.4066626947988303</v>
      </c>
      <c r="F57" s="14">
        <v>16.331658291457284</v>
      </c>
      <c r="G57" s="14">
        <v>202.82</v>
      </c>
    </row>
    <row r="58" spans="1:7" ht="13.8" x14ac:dyDescent="0.25">
      <c r="A58" s="14">
        <v>34</v>
      </c>
      <c r="B58" s="14">
        <v>420.36824578945141</v>
      </c>
      <c r="C58" s="14">
        <v>93.011754210548588</v>
      </c>
      <c r="D58" s="14">
        <v>1.0810724871226309</v>
      </c>
      <c r="F58" s="14">
        <v>16.834170854271353</v>
      </c>
      <c r="G58" s="14">
        <v>203.74</v>
      </c>
    </row>
    <row r="59" spans="1:7" ht="13.8" x14ac:dyDescent="0.25">
      <c r="A59" s="14">
        <v>35</v>
      </c>
      <c r="B59" s="14">
        <v>165.35394449664506</v>
      </c>
      <c r="C59" s="14">
        <v>-14.193944496645059</v>
      </c>
      <c r="D59" s="14">
        <v>-0.1649757389193332</v>
      </c>
      <c r="F59" s="14">
        <v>17.336683417085425</v>
      </c>
      <c r="G59" s="14">
        <v>205</v>
      </c>
    </row>
    <row r="60" spans="1:7" ht="13.8" x14ac:dyDescent="0.25">
      <c r="A60" s="14">
        <v>36</v>
      </c>
      <c r="B60" s="14">
        <v>294.35928491070484</v>
      </c>
      <c r="C60" s="14">
        <v>65.130715089295165</v>
      </c>
      <c r="D60" s="14">
        <v>0.75701210827904575</v>
      </c>
      <c r="F60" s="14">
        <v>17.839195979899497</v>
      </c>
      <c r="G60" s="14">
        <v>210.95</v>
      </c>
    </row>
    <row r="61" spans="1:7" ht="13.8" x14ac:dyDescent="0.25">
      <c r="A61" s="14">
        <v>37</v>
      </c>
      <c r="B61" s="14">
        <v>493.58351957521342</v>
      </c>
      <c r="C61" s="14">
        <v>-24.74351957521344</v>
      </c>
      <c r="D61" s="14">
        <v>-0.28759309481241674</v>
      </c>
      <c r="F61" s="14">
        <v>18.341708542713565</v>
      </c>
      <c r="G61" s="14">
        <v>212.83</v>
      </c>
    </row>
    <row r="62" spans="1:7" ht="13.8" x14ac:dyDescent="0.25">
      <c r="A62" s="14">
        <v>38</v>
      </c>
      <c r="B62" s="14">
        <v>270.61577744805311</v>
      </c>
      <c r="C62" s="14">
        <v>-40.6257774480531</v>
      </c>
      <c r="D62" s="14">
        <v>-0.47219204325119907</v>
      </c>
      <c r="F62" s="14">
        <v>18.844221105527634</v>
      </c>
      <c r="G62" s="14">
        <v>214.18</v>
      </c>
    </row>
    <row r="63" spans="1:7" ht="13.8" x14ac:dyDescent="0.25">
      <c r="A63" s="14">
        <v>39</v>
      </c>
      <c r="B63" s="14">
        <v>203.1762352432103</v>
      </c>
      <c r="C63" s="14">
        <v>-5.8262352432103057</v>
      </c>
      <c r="D63" s="14">
        <v>-6.771813603989163E-2</v>
      </c>
      <c r="F63" s="14">
        <v>19.346733668341706</v>
      </c>
      <c r="G63" s="14">
        <v>217.78</v>
      </c>
    </row>
    <row r="64" spans="1:7" ht="13.8" x14ac:dyDescent="0.25">
      <c r="A64" s="14">
        <v>40</v>
      </c>
      <c r="B64" s="14">
        <v>402.97454262242849</v>
      </c>
      <c r="C64" s="14">
        <v>11.465457377571511</v>
      </c>
      <c r="D64" s="14">
        <v>0.133262625013087</v>
      </c>
      <c r="F64" s="14">
        <v>19.849246231155778</v>
      </c>
      <c r="G64" s="14">
        <v>220.05</v>
      </c>
    </row>
    <row r="65" spans="1:7" ht="13.8" x14ac:dyDescent="0.25">
      <c r="A65" s="14">
        <v>41</v>
      </c>
      <c r="B65" s="14">
        <v>359.13849014494241</v>
      </c>
      <c r="C65" s="14">
        <v>10.211509855057614</v>
      </c>
      <c r="D65" s="14">
        <v>0.11868803518418536</v>
      </c>
      <c r="F65" s="14">
        <v>20.351758793969847</v>
      </c>
      <c r="G65" s="14">
        <v>223.04</v>
      </c>
    </row>
    <row r="66" spans="1:7" ht="13.8" x14ac:dyDescent="0.25">
      <c r="A66" s="14">
        <v>42</v>
      </c>
      <c r="B66" s="14">
        <v>194.77167068212717</v>
      </c>
      <c r="C66" s="14">
        <v>18.058329317872847</v>
      </c>
      <c r="D66" s="14">
        <v>0.20989135356763614</v>
      </c>
      <c r="F66" s="14">
        <v>20.854271356783915</v>
      </c>
      <c r="G66" s="14">
        <v>225.37</v>
      </c>
    </row>
    <row r="67" spans="1:7" ht="13.8" x14ac:dyDescent="0.25">
      <c r="A67" s="14">
        <v>43</v>
      </c>
      <c r="B67" s="14">
        <v>294.33478180702821</v>
      </c>
      <c r="C67" s="14">
        <v>8.3752181929717722</v>
      </c>
      <c r="D67" s="14">
        <v>9.7344879030825227E-2</v>
      </c>
      <c r="F67" s="14">
        <v>21.356783919597987</v>
      </c>
      <c r="G67" s="14">
        <v>229.23</v>
      </c>
    </row>
    <row r="68" spans="1:7" ht="13.8" x14ac:dyDescent="0.25">
      <c r="A68" s="14">
        <v>44</v>
      </c>
      <c r="B68" s="14">
        <v>429.59191410201032</v>
      </c>
      <c r="C68" s="14">
        <v>-64.481914102010307</v>
      </c>
      <c r="D68" s="14">
        <v>-0.74947111625147989</v>
      </c>
      <c r="F68" s="14">
        <v>21.859296482412059</v>
      </c>
      <c r="G68" s="14">
        <v>229.65</v>
      </c>
    </row>
    <row r="69" spans="1:7" ht="13.8" x14ac:dyDescent="0.25">
      <c r="A69" s="14">
        <v>45</v>
      </c>
      <c r="B69" s="14">
        <v>299.88298456809309</v>
      </c>
      <c r="C69" s="14">
        <v>-85.702984568093086</v>
      </c>
      <c r="D69" s="14">
        <v>-0.99612290368299672</v>
      </c>
      <c r="F69" s="14">
        <v>22.361809045226128</v>
      </c>
      <c r="G69" s="14">
        <v>229.99</v>
      </c>
    </row>
    <row r="70" spans="1:7" ht="13.8" x14ac:dyDescent="0.25">
      <c r="A70" s="14">
        <v>46</v>
      </c>
      <c r="B70" s="14">
        <v>428.95133296303567</v>
      </c>
      <c r="C70" s="14">
        <v>39.768667036964359</v>
      </c>
      <c r="D70" s="14">
        <v>0.46222987780534708</v>
      </c>
      <c r="F70" s="14">
        <v>22.864321608040196</v>
      </c>
      <c r="G70" s="14">
        <v>231.32</v>
      </c>
    </row>
    <row r="71" spans="1:7" ht="13.8" x14ac:dyDescent="0.25">
      <c r="A71" s="14">
        <v>47</v>
      </c>
      <c r="B71" s="14">
        <v>350.5939078485643</v>
      </c>
      <c r="C71" s="14">
        <v>100.11609215143568</v>
      </c>
      <c r="D71" s="14">
        <v>1.1636459677789441</v>
      </c>
      <c r="F71" s="14">
        <v>23.366834170854268</v>
      </c>
      <c r="G71" s="14">
        <v>231.79</v>
      </c>
    </row>
    <row r="72" spans="1:7" ht="13.8" x14ac:dyDescent="0.25">
      <c r="A72" s="14">
        <v>48</v>
      </c>
      <c r="B72" s="14">
        <v>415.45012283721405</v>
      </c>
      <c r="C72" s="14">
        <v>-83.13012283721406</v>
      </c>
      <c r="D72" s="14">
        <v>-0.96621861842322487</v>
      </c>
      <c r="F72" s="14">
        <v>23.86934673366834</v>
      </c>
      <c r="G72" s="14">
        <v>232.19</v>
      </c>
    </row>
    <row r="73" spans="1:7" ht="13.8" x14ac:dyDescent="0.25">
      <c r="A73" s="14">
        <v>49</v>
      </c>
      <c r="B73" s="14">
        <v>271.44188208629367</v>
      </c>
      <c r="C73" s="14">
        <v>-96.961882086293684</v>
      </c>
      <c r="D73" s="14">
        <v>-1.1269846904062872</v>
      </c>
      <c r="F73" s="14">
        <v>24.371859296482409</v>
      </c>
      <c r="G73" s="14">
        <v>232.33</v>
      </c>
    </row>
    <row r="74" spans="1:7" ht="13.8" x14ac:dyDescent="0.25">
      <c r="A74" s="14">
        <v>50</v>
      </c>
      <c r="B74" s="14">
        <v>357.55979017949113</v>
      </c>
      <c r="C74" s="14">
        <v>-114.95979017949114</v>
      </c>
      <c r="D74" s="14">
        <v>-1.3361737701141383</v>
      </c>
      <c r="F74" s="14">
        <v>24.874371859296478</v>
      </c>
      <c r="G74" s="14">
        <v>236.44</v>
      </c>
    </row>
    <row r="75" spans="1:7" ht="13.8" x14ac:dyDescent="0.25">
      <c r="A75" s="14">
        <v>51</v>
      </c>
      <c r="B75" s="14">
        <v>429.37138616892065</v>
      </c>
      <c r="C75" s="14">
        <v>122.60861383107937</v>
      </c>
      <c r="D75" s="14">
        <v>1.4250757898509847</v>
      </c>
      <c r="F75" s="14">
        <v>25.37688442211055</v>
      </c>
      <c r="G75" s="14">
        <v>242.31</v>
      </c>
    </row>
    <row r="76" spans="1:7" ht="13.8" x14ac:dyDescent="0.25">
      <c r="A76" s="14">
        <v>52</v>
      </c>
      <c r="B76" s="14">
        <v>380.47369256051996</v>
      </c>
      <c r="C76" s="14">
        <v>-4.3692560519957624E-2</v>
      </c>
      <c r="D76" s="14">
        <v>-5.0783715962546272E-4</v>
      </c>
      <c r="F76" s="14">
        <v>25.879396984924622</v>
      </c>
      <c r="G76" s="14">
        <v>242.6</v>
      </c>
    </row>
    <row r="77" spans="1:7" ht="13.8" x14ac:dyDescent="0.25">
      <c r="A77" s="14">
        <v>53</v>
      </c>
      <c r="B77" s="14">
        <v>330.05680652416828</v>
      </c>
      <c r="C77" s="14">
        <v>9.3831934758317175</v>
      </c>
      <c r="D77" s="14">
        <v>0.10906054180106846</v>
      </c>
      <c r="F77" s="14">
        <v>26.38190954773869</v>
      </c>
      <c r="G77" s="14">
        <v>245.45</v>
      </c>
    </row>
    <row r="78" spans="1:7" ht="13.8" x14ac:dyDescent="0.25">
      <c r="A78" s="14">
        <v>54</v>
      </c>
      <c r="B78" s="14">
        <v>286.61630414889066</v>
      </c>
      <c r="C78" s="14">
        <v>-112.62630414889065</v>
      </c>
      <c r="D78" s="14">
        <v>-1.3090517405579956</v>
      </c>
      <c r="F78" s="14">
        <v>26.884422110552759</v>
      </c>
      <c r="G78" s="14">
        <v>253.98</v>
      </c>
    </row>
    <row r="79" spans="1:7" ht="13.8" x14ac:dyDescent="0.25">
      <c r="A79" s="14">
        <v>55</v>
      </c>
      <c r="B79" s="14">
        <v>321.70474861382081</v>
      </c>
      <c r="C79" s="14">
        <v>-64.374748613820827</v>
      </c>
      <c r="D79" s="14">
        <v>-0.74822553539093128</v>
      </c>
      <c r="F79" s="14">
        <v>27.386934673366831</v>
      </c>
      <c r="G79" s="14">
        <v>255.24</v>
      </c>
    </row>
    <row r="80" spans="1:7" ht="13.8" x14ac:dyDescent="0.25">
      <c r="A80" s="14">
        <v>56</v>
      </c>
      <c r="B80" s="14">
        <v>340.68415263305974</v>
      </c>
      <c r="C80" s="14">
        <v>48.615847366940272</v>
      </c>
      <c r="D80" s="14">
        <v>0.56506035686177547</v>
      </c>
      <c r="F80" s="14">
        <v>27.889447236180903</v>
      </c>
      <c r="G80" s="14">
        <v>255.79</v>
      </c>
    </row>
    <row r="81" spans="1:7" ht="13.8" x14ac:dyDescent="0.25">
      <c r="A81" s="14">
        <v>57</v>
      </c>
      <c r="B81" s="14">
        <v>259.59638168033564</v>
      </c>
      <c r="C81" s="14">
        <v>-111.27638168033565</v>
      </c>
      <c r="D81" s="14">
        <v>-1.2933616371631069</v>
      </c>
      <c r="F81" s="14">
        <v>28.391959798994971</v>
      </c>
      <c r="G81" s="14">
        <v>257.33</v>
      </c>
    </row>
    <row r="82" spans="1:7" ht="13.8" x14ac:dyDescent="0.25">
      <c r="A82" s="14">
        <v>58</v>
      </c>
      <c r="B82" s="14">
        <v>437.14237047779386</v>
      </c>
      <c r="C82" s="14">
        <v>12.437629522206123</v>
      </c>
      <c r="D82" s="14">
        <v>0.14456214911336773</v>
      </c>
      <c r="F82" s="14">
        <v>28.89447236180904</v>
      </c>
      <c r="G82" s="14">
        <v>257.42</v>
      </c>
    </row>
    <row r="83" spans="1:7" ht="13.8" x14ac:dyDescent="0.25">
      <c r="A83" s="14">
        <v>59</v>
      </c>
      <c r="B83" s="14">
        <v>476.1863159648081</v>
      </c>
      <c r="C83" s="14">
        <v>203.99368403519185</v>
      </c>
      <c r="D83" s="14">
        <v>2.3710117202823615</v>
      </c>
      <c r="F83" s="14">
        <v>29.396984924623112</v>
      </c>
      <c r="G83" s="14">
        <v>257.45</v>
      </c>
    </row>
    <row r="84" spans="1:7" ht="13.8" x14ac:dyDescent="0.25">
      <c r="A84" s="14">
        <v>60</v>
      </c>
      <c r="B84" s="14">
        <v>484.21633308397708</v>
      </c>
      <c r="C84" s="14">
        <v>13.773666916022933</v>
      </c>
      <c r="D84" s="14">
        <v>0.16009086675213871</v>
      </c>
      <c r="F84" s="14">
        <v>29.899497487437184</v>
      </c>
      <c r="G84" s="14">
        <v>258.24</v>
      </c>
    </row>
    <row r="85" spans="1:7" ht="13.8" x14ac:dyDescent="0.25">
      <c r="A85" s="14">
        <v>61</v>
      </c>
      <c r="B85" s="14">
        <v>171.16818095477046</v>
      </c>
      <c r="C85" s="14">
        <v>48.881819045229548</v>
      </c>
      <c r="D85" s="14">
        <v>0.56815173672223351</v>
      </c>
      <c r="F85" s="14">
        <v>30.402010050251253</v>
      </c>
      <c r="G85" s="14">
        <v>261.27</v>
      </c>
    </row>
    <row r="86" spans="1:7" ht="13.8" x14ac:dyDescent="0.25">
      <c r="A86" s="14">
        <v>62</v>
      </c>
      <c r="B86" s="14">
        <v>326.83989905576539</v>
      </c>
      <c r="C86" s="14">
        <v>-32.719899055765381</v>
      </c>
      <c r="D86" s="14">
        <v>-0.38030228491923285</v>
      </c>
      <c r="F86" s="14">
        <v>30.904522613065321</v>
      </c>
      <c r="G86" s="14">
        <v>263.32</v>
      </c>
    </row>
    <row r="87" spans="1:7" ht="13.8" x14ac:dyDescent="0.25">
      <c r="A87" s="14">
        <v>63</v>
      </c>
      <c r="B87" s="14">
        <v>351.98008342798488</v>
      </c>
      <c r="C87" s="14">
        <v>-150.87008342798487</v>
      </c>
      <c r="D87" s="14">
        <v>-1.7535578993025043</v>
      </c>
      <c r="F87" s="14">
        <v>31.407035175879393</v>
      </c>
      <c r="G87" s="14">
        <v>264.44</v>
      </c>
    </row>
    <row r="88" spans="1:7" ht="13.8" x14ac:dyDescent="0.25">
      <c r="A88" s="14">
        <v>64</v>
      </c>
      <c r="B88" s="14">
        <v>385.08377649510817</v>
      </c>
      <c r="C88" s="14">
        <v>-123.81377649510819</v>
      </c>
      <c r="D88" s="14">
        <v>-1.4390833549124897</v>
      </c>
      <c r="F88" s="14">
        <v>31.909547738693465</v>
      </c>
      <c r="G88" s="14">
        <v>265.26</v>
      </c>
    </row>
    <row r="89" spans="1:7" ht="13.8" x14ac:dyDescent="0.25">
      <c r="A89" s="14">
        <v>65</v>
      </c>
      <c r="B89" s="14">
        <v>362.19087677437369</v>
      </c>
      <c r="C89" s="14">
        <v>-54.370876774373698</v>
      </c>
      <c r="D89" s="14">
        <v>-0.6319508698702091</v>
      </c>
      <c r="F89" s="14">
        <v>32.412060301507537</v>
      </c>
      <c r="G89" s="14">
        <v>268</v>
      </c>
    </row>
    <row r="90" spans="1:7" ht="13.8" x14ac:dyDescent="0.25">
      <c r="A90" s="14">
        <v>66</v>
      </c>
      <c r="B90" s="14">
        <v>306.79285980490198</v>
      </c>
      <c r="C90" s="14">
        <v>26.257140195098032</v>
      </c>
      <c r="D90" s="14">
        <v>0.30518585630785744</v>
      </c>
      <c r="F90" s="14">
        <v>32.914572864321606</v>
      </c>
      <c r="G90" s="14">
        <v>268.97000000000003</v>
      </c>
    </row>
    <row r="91" spans="1:7" ht="13.8" x14ac:dyDescent="0.25">
      <c r="A91" s="14">
        <v>67</v>
      </c>
      <c r="B91" s="14">
        <v>480.02980279865619</v>
      </c>
      <c r="C91" s="14">
        <v>-24.059802798656165</v>
      </c>
      <c r="D91" s="14">
        <v>-0.27964627774188766</v>
      </c>
      <c r="F91" s="14">
        <v>33.417085427135675</v>
      </c>
      <c r="G91" s="14">
        <v>271.04000000000002</v>
      </c>
    </row>
    <row r="92" spans="1:7" ht="13.8" x14ac:dyDescent="0.25">
      <c r="A92" s="14">
        <v>68</v>
      </c>
      <c r="B92" s="14">
        <v>357.1362365302237</v>
      </c>
      <c r="C92" s="14">
        <v>-114.8262365302237</v>
      </c>
      <c r="D92" s="14">
        <v>-1.3346214805459724</v>
      </c>
      <c r="F92" s="14">
        <v>33.91959798994975</v>
      </c>
      <c r="G92" s="14">
        <v>271.88</v>
      </c>
    </row>
    <row r="93" spans="1:7" ht="13.8" x14ac:dyDescent="0.25">
      <c r="A93" s="14">
        <v>69</v>
      </c>
      <c r="B93" s="14">
        <v>281.71918385694755</v>
      </c>
      <c r="C93" s="14">
        <v>62.34081614305245</v>
      </c>
      <c r="D93" s="14">
        <v>0.72458520677358673</v>
      </c>
      <c r="F93" s="14">
        <v>34.422110552763819</v>
      </c>
      <c r="G93" s="14">
        <v>273.41000000000003</v>
      </c>
    </row>
    <row r="94" spans="1:7" ht="13.8" x14ac:dyDescent="0.25">
      <c r="A94" s="14">
        <v>70</v>
      </c>
      <c r="B94" s="14">
        <v>213.0579869116558</v>
      </c>
      <c r="C94" s="14">
        <v>-68.497986911655801</v>
      </c>
      <c r="D94" s="14">
        <v>-0.79614979528123886</v>
      </c>
      <c r="F94" s="14">
        <v>34.924623115577887</v>
      </c>
      <c r="G94" s="14">
        <v>275.77999999999997</v>
      </c>
    </row>
    <row r="95" spans="1:7" ht="13.8" x14ac:dyDescent="0.25">
      <c r="A95" s="14">
        <v>71</v>
      </c>
      <c r="B95" s="14">
        <v>343.46350467866574</v>
      </c>
      <c r="C95" s="14">
        <v>98.076495321334278</v>
      </c>
      <c r="D95" s="14">
        <v>1.1399398025038128</v>
      </c>
      <c r="F95" s="14">
        <v>35.427135678391963</v>
      </c>
      <c r="G95" s="14">
        <v>285.33999999999997</v>
      </c>
    </row>
    <row r="96" spans="1:7" ht="13.8" x14ac:dyDescent="0.25">
      <c r="A96" s="14">
        <v>72</v>
      </c>
      <c r="B96" s="14">
        <v>188.94343245047227</v>
      </c>
      <c r="C96" s="14">
        <v>-74.24343245047227</v>
      </c>
      <c r="D96" s="14">
        <v>-0.86292891530746363</v>
      </c>
      <c r="F96" s="14">
        <v>35.929648241206031</v>
      </c>
      <c r="G96" s="14">
        <v>286.68</v>
      </c>
    </row>
    <row r="97" spans="1:7" ht="13.8" x14ac:dyDescent="0.25">
      <c r="A97" s="14">
        <v>73</v>
      </c>
      <c r="B97" s="14">
        <v>281.59316789518209</v>
      </c>
      <c r="C97" s="14">
        <v>-24.173167895182075</v>
      </c>
      <c r="D97" s="14">
        <v>-0.28096391644136576</v>
      </c>
      <c r="F97" s="14">
        <v>36.4321608040201</v>
      </c>
      <c r="G97" s="14">
        <v>293.27999999999997</v>
      </c>
    </row>
    <row r="98" spans="1:7" ht="13.8" x14ac:dyDescent="0.25">
      <c r="A98" s="14">
        <v>74</v>
      </c>
      <c r="B98" s="14">
        <v>534.37768675341533</v>
      </c>
      <c r="C98" s="14">
        <v>-229.05768675341534</v>
      </c>
      <c r="D98" s="14">
        <v>-2.6623297798740735</v>
      </c>
      <c r="F98" s="14">
        <v>36.934673366834168</v>
      </c>
      <c r="G98" s="14">
        <v>294.12</v>
      </c>
    </row>
    <row r="99" spans="1:7" ht="13.8" x14ac:dyDescent="0.25">
      <c r="A99" s="14">
        <v>75</v>
      </c>
      <c r="B99" s="14">
        <v>425.39488248654231</v>
      </c>
      <c r="C99" s="14">
        <v>-167.15488248654231</v>
      </c>
      <c r="D99" s="14">
        <v>-1.9428355703877611</v>
      </c>
      <c r="F99" s="14">
        <v>37.437185929648237</v>
      </c>
      <c r="G99" s="14">
        <v>297.27</v>
      </c>
    </row>
    <row r="100" spans="1:7" ht="13.8" x14ac:dyDescent="0.25">
      <c r="A100" s="14">
        <v>76</v>
      </c>
      <c r="B100" s="14">
        <v>441.52492559252772</v>
      </c>
      <c r="C100" s="14">
        <v>-5.4925592527695244E-2</v>
      </c>
      <c r="D100" s="14">
        <v>-6.3839831239163414E-4</v>
      </c>
      <c r="F100" s="14">
        <v>37.939698492462313</v>
      </c>
      <c r="G100" s="14">
        <v>297.69</v>
      </c>
    </row>
    <row r="101" spans="1:7" ht="13.8" x14ac:dyDescent="0.25">
      <c r="A101" s="14">
        <v>77</v>
      </c>
      <c r="B101" s="14">
        <v>181.34747031071788</v>
      </c>
      <c r="C101" s="14">
        <v>-9.0874703107178902</v>
      </c>
      <c r="D101" s="14">
        <v>-0.10562336141109659</v>
      </c>
      <c r="F101" s="14">
        <v>38.442211055276381</v>
      </c>
      <c r="G101" s="14">
        <v>298.38</v>
      </c>
    </row>
    <row r="102" spans="1:7" ht="13.8" x14ac:dyDescent="0.25">
      <c r="A102" s="14">
        <v>78</v>
      </c>
      <c r="B102" s="14">
        <v>389.01827485689807</v>
      </c>
      <c r="C102" s="14">
        <v>111.08172514310195</v>
      </c>
      <c r="D102" s="14">
        <v>1.2910991507856804</v>
      </c>
      <c r="F102" s="14">
        <v>38.94472361809045</v>
      </c>
      <c r="G102" s="14">
        <v>300.58999999999997</v>
      </c>
    </row>
    <row r="103" spans="1:7" ht="13.8" x14ac:dyDescent="0.25">
      <c r="A103" s="14">
        <v>79</v>
      </c>
      <c r="B103" s="14">
        <v>452.0717615036246</v>
      </c>
      <c r="C103" s="14">
        <v>129.08823849637537</v>
      </c>
      <c r="D103" s="14">
        <v>1.5003882491416218</v>
      </c>
      <c r="F103" s="14">
        <v>39.447236180904525</v>
      </c>
      <c r="G103" s="14">
        <v>300.85000000000002</v>
      </c>
    </row>
    <row r="104" spans="1:7" ht="13.8" x14ac:dyDescent="0.25">
      <c r="A104" s="14">
        <v>80</v>
      </c>
      <c r="B104" s="14">
        <v>237.92863714343244</v>
      </c>
      <c r="C104" s="14">
        <v>33.951362856567556</v>
      </c>
      <c r="D104" s="14">
        <v>0.39461554720779329</v>
      </c>
      <c r="F104" s="14">
        <v>39.949748743718594</v>
      </c>
      <c r="G104" s="14">
        <v>301.75</v>
      </c>
    </row>
    <row r="105" spans="1:7" ht="13.8" x14ac:dyDescent="0.25">
      <c r="A105" s="14">
        <v>81</v>
      </c>
      <c r="B105" s="14">
        <v>400.34220919888224</v>
      </c>
      <c r="C105" s="14">
        <v>-5.2209198882223973E-2</v>
      </c>
      <c r="D105" s="14">
        <v>-6.0682576052183308E-4</v>
      </c>
      <c r="F105" s="14">
        <v>40.452261306532662</v>
      </c>
      <c r="G105" s="14">
        <v>302.70999999999998</v>
      </c>
    </row>
    <row r="106" spans="1:7" ht="13.8" x14ac:dyDescent="0.25">
      <c r="A106" s="14">
        <v>82</v>
      </c>
      <c r="B106" s="14">
        <v>276.56303075470879</v>
      </c>
      <c r="C106" s="14">
        <v>-98.793030754708781</v>
      </c>
      <c r="D106" s="14">
        <v>-1.148268069717397</v>
      </c>
      <c r="F106" s="14">
        <v>40.954773869346731</v>
      </c>
      <c r="G106" s="14">
        <v>304.18</v>
      </c>
    </row>
    <row r="107" spans="1:7" ht="13.8" x14ac:dyDescent="0.25">
      <c r="A107" s="14">
        <v>83</v>
      </c>
      <c r="B107" s="14">
        <v>374.7854720641601</v>
      </c>
      <c r="C107" s="14">
        <v>32.07452793583991</v>
      </c>
      <c r="D107" s="14">
        <v>0.37280115812448822</v>
      </c>
      <c r="F107" s="14">
        <v>41.457286432160799</v>
      </c>
      <c r="G107" s="14">
        <v>305.32</v>
      </c>
    </row>
    <row r="108" spans="1:7" ht="13.8" x14ac:dyDescent="0.25">
      <c r="A108" s="14">
        <v>84</v>
      </c>
      <c r="B108" s="14">
        <v>409.16332652246803</v>
      </c>
      <c r="C108" s="14">
        <v>116.83667347753197</v>
      </c>
      <c r="D108" s="14">
        <v>1.3579887214853257</v>
      </c>
      <c r="F108" s="14">
        <v>41.959798994974875</v>
      </c>
      <c r="G108" s="14">
        <v>305.8</v>
      </c>
    </row>
    <row r="109" spans="1:7" ht="13.8" x14ac:dyDescent="0.25">
      <c r="A109" s="14">
        <v>85</v>
      </c>
      <c r="B109" s="14">
        <v>467.61373012137096</v>
      </c>
      <c r="C109" s="14">
        <v>-133.64373012137094</v>
      </c>
      <c r="D109" s="14">
        <v>-1.5533365748978707</v>
      </c>
      <c r="F109" s="14">
        <v>42.462311557788944</v>
      </c>
      <c r="G109" s="14">
        <v>307.72000000000003</v>
      </c>
    </row>
    <row r="110" spans="1:7" ht="13.8" x14ac:dyDescent="0.25">
      <c r="A110" s="14">
        <v>86</v>
      </c>
      <c r="B110" s="14">
        <v>305.83373831813117</v>
      </c>
      <c r="C110" s="14">
        <v>-3.3738318131156575E-2</v>
      </c>
      <c r="D110" s="14">
        <v>-3.9213933553838376E-4</v>
      </c>
      <c r="F110" s="14">
        <v>42.964824120603012</v>
      </c>
      <c r="G110" s="14">
        <v>307.82</v>
      </c>
    </row>
    <row r="111" spans="1:7" ht="13.8" x14ac:dyDescent="0.25">
      <c r="A111" s="14">
        <v>87</v>
      </c>
      <c r="B111" s="14">
        <v>505.45702352823054</v>
      </c>
      <c r="C111" s="14">
        <v>144.33297647176943</v>
      </c>
      <c r="D111" s="14">
        <v>1.677577325280162</v>
      </c>
      <c r="F111" s="14">
        <v>43.467336683417088</v>
      </c>
      <c r="G111" s="14">
        <v>310.24</v>
      </c>
    </row>
    <row r="112" spans="1:7" ht="13.8" x14ac:dyDescent="0.25">
      <c r="A112" s="14">
        <v>88</v>
      </c>
      <c r="B112" s="14">
        <v>404.06668095772955</v>
      </c>
      <c r="C112" s="14">
        <v>37.463319042270427</v>
      </c>
      <c r="D112" s="14">
        <v>0.4354348956930294</v>
      </c>
      <c r="F112" s="14">
        <v>43.969849246231156</v>
      </c>
      <c r="G112" s="14">
        <v>312.91000000000003</v>
      </c>
    </row>
    <row r="113" spans="1:7" ht="13.8" x14ac:dyDescent="0.25">
      <c r="A113" s="14">
        <v>89</v>
      </c>
      <c r="B113" s="14">
        <v>442.62756525797602</v>
      </c>
      <c r="C113" s="14">
        <v>37.882434742023975</v>
      </c>
      <c r="D113" s="14">
        <v>0.44030626335801343</v>
      </c>
      <c r="F113" s="14">
        <v>44.472361809045225</v>
      </c>
      <c r="G113" s="14">
        <v>313.91000000000003</v>
      </c>
    </row>
    <row r="114" spans="1:7" ht="13.8" x14ac:dyDescent="0.25">
      <c r="A114" s="14">
        <v>90</v>
      </c>
      <c r="B114" s="14">
        <v>385.59134078555263</v>
      </c>
      <c r="C114" s="14">
        <v>-38.601340785552622</v>
      </c>
      <c r="D114" s="14">
        <v>-0.44866208409359165</v>
      </c>
      <c r="F114" s="14">
        <v>44.974874371859293</v>
      </c>
      <c r="G114" s="14">
        <v>314.74</v>
      </c>
    </row>
    <row r="115" spans="1:7" ht="13.8" x14ac:dyDescent="0.25">
      <c r="A115" s="14">
        <v>91</v>
      </c>
      <c r="B115" s="14">
        <v>254.73776626559868</v>
      </c>
      <c r="C115" s="14">
        <v>-25.50776626559869</v>
      </c>
      <c r="D115" s="14">
        <v>-0.29647590835961374</v>
      </c>
      <c r="F115" s="14">
        <v>45.477386934673362</v>
      </c>
      <c r="G115" s="14">
        <v>316.32</v>
      </c>
    </row>
    <row r="116" spans="1:7" ht="13.8" x14ac:dyDescent="0.25">
      <c r="A116" s="14">
        <v>92</v>
      </c>
      <c r="B116" s="14">
        <v>306.43231413651728</v>
      </c>
      <c r="C116" s="14">
        <v>28.407685863482698</v>
      </c>
      <c r="D116" s="14">
        <v>0.33018157619427735</v>
      </c>
      <c r="F116" s="14">
        <v>45.979899497487438</v>
      </c>
      <c r="G116" s="14">
        <v>318.3</v>
      </c>
    </row>
    <row r="117" spans="1:7" ht="13.8" x14ac:dyDescent="0.25">
      <c r="A117" s="14">
        <v>93</v>
      </c>
      <c r="B117" s="14">
        <v>405.68038535700458</v>
      </c>
      <c r="C117" s="14">
        <v>-173.89038535700459</v>
      </c>
      <c r="D117" s="14">
        <v>-2.021122093440634</v>
      </c>
      <c r="F117" s="14">
        <v>46.482412060301506</v>
      </c>
      <c r="G117" s="14">
        <v>318.47000000000003</v>
      </c>
    </row>
    <row r="118" spans="1:7" ht="13.8" x14ac:dyDescent="0.25">
      <c r="A118" s="14">
        <v>94</v>
      </c>
      <c r="B118" s="14">
        <v>338.24784403892653</v>
      </c>
      <c r="C118" s="14">
        <v>-9.7078440389265097</v>
      </c>
      <c r="D118" s="14">
        <v>-0.11283394436367539</v>
      </c>
      <c r="F118" s="14">
        <v>46.984924623115575</v>
      </c>
      <c r="G118" s="14">
        <v>326.41000000000003</v>
      </c>
    </row>
    <row r="119" spans="1:7" ht="13.8" x14ac:dyDescent="0.25">
      <c r="A119" s="14">
        <v>95</v>
      </c>
      <c r="B119" s="14">
        <v>321.15867944617025</v>
      </c>
      <c r="C119" s="14">
        <v>45.831320553829755</v>
      </c>
      <c r="D119" s="14">
        <v>0.53269589547881147</v>
      </c>
      <c r="F119" s="14">
        <v>47.48743718592965</v>
      </c>
      <c r="G119" s="14">
        <v>327.92</v>
      </c>
    </row>
    <row r="120" spans="1:7" ht="13.8" x14ac:dyDescent="0.25">
      <c r="A120" s="14">
        <v>96</v>
      </c>
      <c r="B120" s="14">
        <v>410.59150742247715</v>
      </c>
      <c r="C120" s="14">
        <v>-61.631507422477171</v>
      </c>
      <c r="D120" s="14">
        <v>-0.71634093539951638</v>
      </c>
      <c r="F120" s="14">
        <v>47.989949748743719</v>
      </c>
      <c r="G120" s="14">
        <v>328.54</v>
      </c>
    </row>
    <row r="121" spans="1:7" ht="13.8" x14ac:dyDescent="0.25">
      <c r="A121" s="14">
        <v>97</v>
      </c>
      <c r="B121" s="14">
        <v>422.09046393358</v>
      </c>
      <c r="C121" s="14">
        <v>120.52953606642001</v>
      </c>
      <c r="D121" s="14">
        <v>1.4009107390029625</v>
      </c>
      <c r="F121" s="14">
        <v>48.492462311557787</v>
      </c>
      <c r="G121" s="14">
        <v>330.79</v>
      </c>
    </row>
    <row r="122" spans="1:7" ht="13.8" x14ac:dyDescent="0.25">
      <c r="A122" s="14">
        <v>98</v>
      </c>
      <c r="B122" s="14">
        <v>289.46216461876179</v>
      </c>
      <c r="C122" s="14">
        <v>8.2278353812382079</v>
      </c>
      <c r="D122" s="14">
        <v>9.5631853572997E-2</v>
      </c>
      <c r="F122" s="14">
        <v>48.994974874371856</v>
      </c>
      <c r="G122" s="14">
        <v>331.59</v>
      </c>
    </row>
    <row r="123" spans="1:7" ht="13.8" x14ac:dyDescent="0.25">
      <c r="A123" s="14">
        <v>99</v>
      </c>
      <c r="B123" s="14">
        <v>315.8065015145184</v>
      </c>
      <c r="C123" s="14">
        <v>135.29349848548162</v>
      </c>
      <c r="D123" s="14">
        <v>1.5725117770398287</v>
      </c>
      <c r="F123" s="14">
        <v>49.497487437185924</v>
      </c>
      <c r="G123" s="14">
        <v>332.19</v>
      </c>
    </row>
    <row r="124" spans="1:7" ht="13.8" x14ac:dyDescent="0.25">
      <c r="A124" s="14">
        <v>100</v>
      </c>
      <c r="B124" s="14">
        <v>205.11548087704625</v>
      </c>
      <c r="C124" s="14">
        <v>5.8345191229537363</v>
      </c>
      <c r="D124" s="14">
        <v>6.7814419295199158E-2</v>
      </c>
      <c r="F124" s="14">
        <v>50</v>
      </c>
      <c r="G124" s="14">
        <v>332.32</v>
      </c>
    </row>
    <row r="125" spans="1:7" ht="13.8" x14ac:dyDescent="0.25">
      <c r="A125" s="14">
        <v>101</v>
      </c>
      <c r="B125" s="14">
        <v>346.61040327942118</v>
      </c>
      <c r="C125" s="14">
        <v>98.979596720578797</v>
      </c>
      <c r="D125" s="14">
        <v>1.1504365196563044</v>
      </c>
      <c r="F125" s="14">
        <v>50.502512562814069</v>
      </c>
      <c r="G125" s="14">
        <v>333.05</v>
      </c>
    </row>
    <row r="126" spans="1:7" ht="13.8" x14ac:dyDescent="0.25">
      <c r="A126" s="14">
        <v>102</v>
      </c>
      <c r="B126" s="14">
        <v>354.97646296329816</v>
      </c>
      <c r="C126" s="14">
        <v>-152.15646296329817</v>
      </c>
      <c r="D126" s="14">
        <v>-1.7685094453240615</v>
      </c>
      <c r="F126" s="14">
        <v>51.005025125628137</v>
      </c>
      <c r="G126" s="14">
        <v>333.36</v>
      </c>
    </row>
    <row r="127" spans="1:7" ht="13.8" x14ac:dyDescent="0.25">
      <c r="A127" s="14">
        <v>103</v>
      </c>
      <c r="B127" s="14">
        <v>323.89252572780538</v>
      </c>
      <c r="C127" s="14">
        <v>-92.572525727805385</v>
      </c>
      <c r="D127" s="14">
        <v>-1.0759673492582336</v>
      </c>
      <c r="F127" s="14">
        <v>51.507537688442213</v>
      </c>
      <c r="G127" s="14">
        <v>333.85</v>
      </c>
    </row>
    <row r="128" spans="1:7" ht="13.8" x14ac:dyDescent="0.25">
      <c r="A128" s="14">
        <v>104</v>
      </c>
      <c r="B128" s="14">
        <v>450.34604291611356</v>
      </c>
      <c r="C128" s="14">
        <v>-5.6042916113540286E-2</v>
      </c>
      <c r="D128" s="14">
        <v>-6.5138492680529166E-4</v>
      </c>
      <c r="F128" s="14">
        <v>52.010050251256281</v>
      </c>
      <c r="G128" s="14">
        <v>333.97</v>
      </c>
    </row>
    <row r="129" spans="1:7" ht="13.8" x14ac:dyDescent="0.25">
      <c r="A129" s="14">
        <v>105</v>
      </c>
      <c r="B129" s="14">
        <v>336.60963653597491</v>
      </c>
      <c r="C129" s="14">
        <v>-28.889636535974887</v>
      </c>
      <c r="D129" s="14">
        <v>-0.33578327263150531</v>
      </c>
      <c r="F129" s="14">
        <v>52.51256281407035</v>
      </c>
      <c r="G129" s="14">
        <v>334.84</v>
      </c>
    </row>
    <row r="130" spans="1:7" ht="13.8" x14ac:dyDescent="0.25">
      <c r="A130" s="14">
        <v>106</v>
      </c>
      <c r="B130" s="14">
        <v>378.44693584212467</v>
      </c>
      <c r="C130" s="14">
        <v>-10.856935842124699</v>
      </c>
      <c r="D130" s="14">
        <v>-0.12618979969786936</v>
      </c>
      <c r="F130" s="14">
        <v>53.015075376884418</v>
      </c>
      <c r="G130" s="14">
        <v>335.04</v>
      </c>
    </row>
    <row r="131" spans="1:7" ht="13.8" x14ac:dyDescent="0.25">
      <c r="A131" s="14">
        <v>107</v>
      </c>
      <c r="B131" s="14">
        <v>673.36629169400953</v>
      </c>
      <c r="C131" s="14">
        <v>96.093708305990504</v>
      </c>
      <c r="D131" s="14">
        <v>1.1168939357926024</v>
      </c>
      <c r="F131" s="14">
        <v>53.517587939698487</v>
      </c>
      <c r="G131" s="14">
        <v>336.24</v>
      </c>
    </row>
    <row r="132" spans="1:7" ht="13.8" x14ac:dyDescent="0.25">
      <c r="A132" s="14">
        <v>108</v>
      </c>
      <c r="B132" s="14">
        <v>255.08080971707147</v>
      </c>
      <c r="C132" s="14">
        <v>72.839190282928541</v>
      </c>
      <c r="D132" s="14">
        <v>0.846607455880384</v>
      </c>
      <c r="F132" s="14">
        <v>54.020100502512562</v>
      </c>
      <c r="G132" s="14">
        <v>339.44</v>
      </c>
    </row>
    <row r="133" spans="1:7" ht="13.8" x14ac:dyDescent="0.25">
      <c r="A133" s="14">
        <v>109</v>
      </c>
      <c r="B133" s="14">
        <v>455.71922350805971</v>
      </c>
      <c r="C133" s="14">
        <v>97.580776491940242</v>
      </c>
      <c r="D133" s="14">
        <v>1.1341780792425418</v>
      </c>
      <c r="F133" s="14">
        <v>54.522613065326631</v>
      </c>
      <c r="G133" s="14">
        <v>341.12</v>
      </c>
    </row>
    <row r="134" spans="1:7" ht="13.8" x14ac:dyDescent="0.25">
      <c r="A134" s="14">
        <v>110</v>
      </c>
      <c r="B134" s="14">
        <v>343.10645945366343</v>
      </c>
      <c r="C134" s="14">
        <v>9.7535405463365805</v>
      </c>
      <c r="D134" s="14">
        <v>0.11336507333052397</v>
      </c>
      <c r="F134" s="14">
        <v>55.0251256281407</v>
      </c>
      <c r="G134" s="14">
        <v>343.6</v>
      </c>
    </row>
    <row r="135" spans="1:7" ht="13.8" x14ac:dyDescent="0.25">
      <c r="A135" s="14">
        <v>111</v>
      </c>
      <c r="B135" s="14">
        <v>244.18042902435477</v>
      </c>
      <c r="C135" s="14">
        <v>69.72957097564526</v>
      </c>
      <c r="D135" s="14">
        <v>0.8104644553847753</v>
      </c>
      <c r="F135" s="14">
        <v>55.527638190954775</v>
      </c>
      <c r="G135" s="14">
        <v>344.06</v>
      </c>
    </row>
    <row r="136" spans="1:7" ht="13.8" x14ac:dyDescent="0.25">
      <c r="A136" s="14">
        <v>112</v>
      </c>
      <c r="B136" s="14">
        <v>417.81642256369975</v>
      </c>
      <c r="C136" s="14">
        <v>-62.716422563699723</v>
      </c>
      <c r="D136" s="14">
        <v>-0.72895086755264471</v>
      </c>
      <c r="F136" s="14">
        <v>56.030150753768844</v>
      </c>
      <c r="G136" s="14">
        <v>344.41</v>
      </c>
    </row>
    <row r="137" spans="1:7" ht="13.8" x14ac:dyDescent="0.25">
      <c r="A137" s="14">
        <v>113</v>
      </c>
      <c r="B137" s="14">
        <v>269.89118566790142</v>
      </c>
      <c r="C137" s="14">
        <v>-77.131185667901434</v>
      </c>
      <c r="D137" s="14">
        <v>-0.89649317371178983</v>
      </c>
      <c r="F137" s="14">
        <v>56.532663316582912</v>
      </c>
      <c r="G137" s="14">
        <v>344.91</v>
      </c>
    </row>
    <row r="138" spans="1:7" ht="13.8" x14ac:dyDescent="0.25">
      <c r="A138" s="14">
        <v>114</v>
      </c>
      <c r="B138" s="14">
        <v>231.41081156544959</v>
      </c>
      <c r="C138" s="14">
        <v>33.029188434550406</v>
      </c>
      <c r="D138" s="14">
        <v>0.383897144953878</v>
      </c>
      <c r="F138" s="14">
        <v>57.035175879396981</v>
      </c>
      <c r="G138" s="14">
        <v>346.99</v>
      </c>
    </row>
    <row r="139" spans="1:7" ht="13.8" x14ac:dyDescent="0.25">
      <c r="A139" s="14">
        <v>115</v>
      </c>
      <c r="B139" s="14">
        <v>241.12104150815873</v>
      </c>
      <c r="C139" s="14">
        <v>-68.911041508158718</v>
      </c>
      <c r="D139" s="14">
        <v>-0.80095071494724168</v>
      </c>
      <c r="F139" s="14">
        <v>57.537688442211049</v>
      </c>
      <c r="G139" s="14">
        <v>348.96</v>
      </c>
    </row>
    <row r="140" spans="1:7" ht="13.8" x14ac:dyDescent="0.25">
      <c r="A140" s="14">
        <v>116</v>
      </c>
      <c r="B140" s="14">
        <v>437.24038289250035</v>
      </c>
      <c r="C140" s="14">
        <v>37.419617107499676</v>
      </c>
      <c r="D140" s="14">
        <v>0.43492694957680261</v>
      </c>
      <c r="F140" s="14">
        <v>58.040201005025125</v>
      </c>
      <c r="G140" s="14">
        <v>350.22</v>
      </c>
    </row>
    <row r="141" spans="1:7" ht="13.8" x14ac:dyDescent="0.25">
      <c r="A141" s="14">
        <v>117</v>
      </c>
      <c r="B141" s="14">
        <v>355.02196872726904</v>
      </c>
      <c r="C141" s="14">
        <v>78.558031272730943</v>
      </c>
      <c r="D141" s="14">
        <v>0.91307735212929664</v>
      </c>
      <c r="F141" s="14">
        <v>58.542713567839193</v>
      </c>
      <c r="G141" s="14">
        <v>352.65</v>
      </c>
    </row>
    <row r="142" spans="1:7" ht="13.8" x14ac:dyDescent="0.25">
      <c r="A142" s="14">
        <v>118</v>
      </c>
      <c r="B142" s="14">
        <v>353.74780733608441</v>
      </c>
      <c r="C142" s="14">
        <v>-10.147807336084384</v>
      </c>
      <c r="D142" s="14">
        <v>-0.11794762295127044</v>
      </c>
      <c r="F142" s="14">
        <v>59.045226130653262</v>
      </c>
      <c r="G142" s="14">
        <v>352.86</v>
      </c>
    </row>
    <row r="143" spans="1:7" ht="13.8" x14ac:dyDescent="0.25">
      <c r="A143" s="14">
        <v>119</v>
      </c>
      <c r="B143" s="14">
        <v>335.09394455140637</v>
      </c>
      <c r="C143" s="14">
        <v>-16.793944551406355</v>
      </c>
      <c r="D143" s="14">
        <v>-0.19519545200373598</v>
      </c>
      <c r="F143" s="14">
        <v>59.547738693467338</v>
      </c>
      <c r="G143" s="14">
        <v>355.1</v>
      </c>
    </row>
    <row r="144" spans="1:7" ht="13.8" x14ac:dyDescent="0.25">
      <c r="A144" s="14">
        <v>120</v>
      </c>
      <c r="B144" s="14">
        <v>377.3197930729998</v>
      </c>
      <c r="C144" s="14">
        <v>-18.909793072999776</v>
      </c>
      <c r="D144" s="14">
        <v>-0.2197878881213888</v>
      </c>
      <c r="F144" s="14">
        <v>60.050251256281406</v>
      </c>
      <c r="G144" s="14">
        <v>356.5</v>
      </c>
    </row>
    <row r="145" spans="1:7" ht="13.8" x14ac:dyDescent="0.25">
      <c r="A145" s="14">
        <v>121</v>
      </c>
      <c r="B145" s="14">
        <v>407.10506581363131</v>
      </c>
      <c r="C145" s="14">
        <v>174.39493418636869</v>
      </c>
      <c r="D145" s="14">
        <v>2.0269864474942167</v>
      </c>
      <c r="F145" s="14">
        <v>60.552763819095475</v>
      </c>
      <c r="G145" s="14">
        <v>356.85</v>
      </c>
    </row>
    <row r="146" spans="1:7" ht="13.8" x14ac:dyDescent="0.25">
      <c r="A146" s="14">
        <v>122</v>
      </c>
      <c r="B146" s="14">
        <v>355.14098380226977</v>
      </c>
      <c r="C146" s="14">
        <v>55.759016197730205</v>
      </c>
      <c r="D146" s="14">
        <v>0.6480851676438425</v>
      </c>
      <c r="F146" s="14">
        <v>61.055276381909543</v>
      </c>
      <c r="G146" s="14">
        <v>358.41</v>
      </c>
    </row>
    <row r="147" spans="1:7" ht="13.8" x14ac:dyDescent="0.25">
      <c r="A147" s="14">
        <v>123</v>
      </c>
      <c r="B147" s="14">
        <v>251.345836628077</v>
      </c>
      <c r="C147" s="14">
        <v>-71.835836628077004</v>
      </c>
      <c r="D147" s="14">
        <v>-0.83494551013685436</v>
      </c>
      <c r="F147" s="14">
        <v>61.557788944723612</v>
      </c>
      <c r="G147" s="14">
        <v>359.49</v>
      </c>
    </row>
    <row r="148" spans="1:7" ht="13.8" x14ac:dyDescent="0.25">
      <c r="A148" s="14">
        <v>124</v>
      </c>
      <c r="B148" s="14">
        <v>447.3041576168294</v>
      </c>
      <c r="C148" s="14">
        <v>63.835842383170586</v>
      </c>
      <c r="D148" s="14">
        <v>0.74196184641914686</v>
      </c>
      <c r="F148" s="14">
        <v>62.060301507537687</v>
      </c>
      <c r="G148" s="14">
        <v>365.11</v>
      </c>
    </row>
    <row r="149" spans="1:7" ht="13.8" x14ac:dyDescent="0.25">
      <c r="A149" s="14">
        <v>125</v>
      </c>
      <c r="B149" s="14">
        <v>247.38683516261054</v>
      </c>
      <c r="C149" s="14">
        <v>-97.206835162610531</v>
      </c>
      <c r="D149" s="14">
        <v>-1.1298317717637978</v>
      </c>
      <c r="F149" s="14">
        <v>62.562814070351756</v>
      </c>
      <c r="G149" s="14">
        <v>366.99</v>
      </c>
    </row>
    <row r="150" spans="1:7" ht="13.8" x14ac:dyDescent="0.25">
      <c r="A150" s="14">
        <v>126</v>
      </c>
      <c r="B150" s="14">
        <v>493.76904307447933</v>
      </c>
      <c r="C150" s="14">
        <v>-141.11904307447935</v>
      </c>
      <c r="D150" s="14">
        <v>-1.6402218856290645</v>
      </c>
      <c r="F150" s="14">
        <v>63.065326633165824</v>
      </c>
      <c r="G150" s="14">
        <v>367.59</v>
      </c>
    </row>
    <row r="151" spans="1:7" ht="13.8" x14ac:dyDescent="0.25">
      <c r="A151" s="14">
        <v>127</v>
      </c>
      <c r="B151" s="14">
        <v>472.67537125228569</v>
      </c>
      <c r="C151" s="14">
        <v>-5.5371252285681294E-2</v>
      </c>
      <c r="D151" s="14">
        <v>-6.4357820075161315E-4</v>
      </c>
      <c r="F151" s="14">
        <v>63.5678391959799</v>
      </c>
      <c r="G151" s="14">
        <v>369.35</v>
      </c>
    </row>
    <row r="152" spans="1:7" ht="13.8" x14ac:dyDescent="0.25">
      <c r="A152" s="14">
        <v>128</v>
      </c>
      <c r="B152" s="14">
        <v>321.75375482117403</v>
      </c>
      <c r="C152" s="14">
        <v>-126.42375482117401</v>
      </c>
      <c r="D152" s="14">
        <v>-1.469419045108258</v>
      </c>
      <c r="F152" s="14">
        <v>64.070351758793961</v>
      </c>
      <c r="G152" s="14">
        <v>374.75</v>
      </c>
    </row>
    <row r="153" spans="1:7" ht="13.8" x14ac:dyDescent="0.25">
      <c r="A153" s="14">
        <v>129</v>
      </c>
      <c r="B153" s="14">
        <v>90.489961877784225</v>
      </c>
      <c r="C153" s="14">
        <v>-25.85996187778423</v>
      </c>
      <c r="D153" s="14">
        <v>-0.30056946610025376</v>
      </c>
      <c r="F153" s="14">
        <v>64.572864321608037</v>
      </c>
      <c r="G153" s="14">
        <v>379.09</v>
      </c>
    </row>
    <row r="154" spans="1:7" ht="13.8" x14ac:dyDescent="0.25">
      <c r="A154" s="14">
        <v>130</v>
      </c>
      <c r="B154" s="14">
        <v>424.77180356447951</v>
      </c>
      <c r="C154" s="14">
        <v>36.348196435520492</v>
      </c>
      <c r="D154" s="14">
        <v>0.42247386318527885</v>
      </c>
      <c r="F154" s="14">
        <v>65.075376884422113</v>
      </c>
      <c r="G154" s="14">
        <v>380.43</v>
      </c>
    </row>
    <row r="155" spans="1:7" ht="13.8" x14ac:dyDescent="0.25">
      <c r="A155" s="14">
        <v>131</v>
      </c>
      <c r="B155" s="14">
        <v>402.64900138786754</v>
      </c>
      <c r="C155" s="14">
        <v>34.460998612132471</v>
      </c>
      <c r="D155" s="14">
        <v>0.40053902643331141</v>
      </c>
      <c r="F155" s="14">
        <v>65.577889447236174</v>
      </c>
      <c r="G155" s="14">
        <v>380.75</v>
      </c>
    </row>
    <row r="156" spans="1:7" ht="13.8" x14ac:dyDescent="0.25">
      <c r="A156" s="14">
        <v>132</v>
      </c>
      <c r="B156" s="14">
        <v>298.88885864749852</v>
      </c>
      <c r="C156" s="14">
        <v>-29.918858647498496</v>
      </c>
      <c r="D156" s="14">
        <v>-0.34774588657584321</v>
      </c>
      <c r="F156" s="14">
        <v>66.08040201005025</v>
      </c>
      <c r="G156" s="14">
        <v>381.07</v>
      </c>
    </row>
    <row r="157" spans="1:7" ht="13.8" x14ac:dyDescent="0.25">
      <c r="A157" s="14">
        <v>133</v>
      </c>
      <c r="B157" s="14">
        <v>371.41104464355021</v>
      </c>
      <c r="C157" s="14">
        <v>-106.15104464355022</v>
      </c>
      <c r="D157" s="14">
        <v>-1.2337900173745302</v>
      </c>
      <c r="F157" s="14">
        <v>66.582914572864311</v>
      </c>
      <c r="G157" s="14">
        <v>388.82</v>
      </c>
    </row>
    <row r="158" spans="1:7" ht="13.8" x14ac:dyDescent="0.25">
      <c r="A158" s="14">
        <v>134</v>
      </c>
      <c r="B158" s="14">
        <v>313.13216277038362</v>
      </c>
      <c r="C158" s="14">
        <v>-134.22216277038362</v>
      </c>
      <c r="D158" s="14">
        <v>-1.5600596780992739</v>
      </c>
      <c r="F158" s="14">
        <v>67.085427135678387</v>
      </c>
      <c r="G158" s="14">
        <v>389.3</v>
      </c>
    </row>
    <row r="159" spans="1:7" ht="13.8" x14ac:dyDescent="0.25">
      <c r="A159" s="14">
        <v>135</v>
      </c>
      <c r="B159" s="14">
        <v>291.90547409965973</v>
      </c>
      <c r="C159" s="14">
        <v>64.594525900340273</v>
      </c>
      <c r="D159" s="14">
        <v>0.75077999939139295</v>
      </c>
      <c r="F159" s="14">
        <v>67.587939698492463</v>
      </c>
      <c r="G159" s="14">
        <v>395.31</v>
      </c>
    </row>
    <row r="160" spans="1:7" ht="13.8" x14ac:dyDescent="0.25">
      <c r="A160" s="14">
        <v>136</v>
      </c>
      <c r="B160" s="14">
        <v>287.10286577904083</v>
      </c>
      <c r="C160" s="14">
        <v>-57.45286577904082</v>
      </c>
      <c r="D160" s="14">
        <v>-0.66777272428892964</v>
      </c>
      <c r="F160" s="14">
        <v>68.090452261306524</v>
      </c>
      <c r="G160" s="14">
        <v>397.06</v>
      </c>
    </row>
    <row r="161" spans="1:7" ht="13.8" x14ac:dyDescent="0.25">
      <c r="A161" s="14">
        <v>137</v>
      </c>
      <c r="B161" s="14">
        <v>179.13168964967429</v>
      </c>
      <c r="C161" s="14">
        <v>-57.591689649674279</v>
      </c>
      <c r="D161" s="14">
        <v>-0.66938626946256408</v>
      </c>
      <c r="F161" s="14">
        <v>68.5929648241206</v>
      </c>
      <c r="G161" s="14">
        <v>398.25</v>
      </c>
    </row>
    <row r="162" spans="1:7" ht="13.8" x14ac:dyDescent="0.25">
      <c r="A162" s="14">
        <v>138</v>
      </c>
      <c r="B162" s="14">
        <v>282.14623794959738</v>
      </c>
      <c r="C162" s="14">
        <v>-14.146237949597378</v>
      </c>
      <c r="D162" s="14">
        <v>-0.16442124732946251</v>
      </c>
      <c r="F162" s="14">
        <v>69.095477386934675</v>
      </c>
      <c r="G162" s="14">
        <v>400.29</v>
      </c>
    </row>
    <row r="163" spans="1:7" ht="13.8" x14ac:dyDescent="0.25">
      <c r="A163" s="14">
        <v>139</v>
      </c>
      <c r="B163" s="14">
        <v>501.42801319511653</v>
      </c>
      <c r="C163" s="14">
        <v>-75.268013195116509</v>
      </c>
      <c r="D163" s="14">
        <v>-0.87483758280085544</v>
      </c>
      <c r="F163" s="14">
        <v>69.597989949748737</v>
      </c>
      <c r="G163" s="14">
        <v>404.39</v>
      </c>
    </row>
    <row r="164" spans="1:7" ht="13.8" x14ac:dyDescent="0.25">
      <c r="A164" s="14">
        <v>140</v>
      </c>
      <c r="B164" s="14">
        <v>521.06900101362442</v>
      </c>
      <c r="C164" s="14">
        <v>-204.74900101362442</v>
      </c>
      <c r="D164" s="14">
        <v>-2.3797907440882304</v>
      </c>
      <c r="F164" s="14">
        <v>70.100502512562812</v>
      </c>
      <c r="G164" s="14">
        <v>406.86</v>
      </c>
    </row>
    <row r="165" spans="1:7" ht="13.8" x14ac:dyDescent="0.25">
      <c r="A165" s="14">
        <v>141</v>
      </c>
      <c r="B165" s="14">
        <v>430.99559189834281</v>
      </c>
      <c r="C165" s="14">
        <v>61.504408101657191</v>
      </c>
      <c r="D165" s="14">
        <v>0.71486366427355297</v>
      </c>
      <c r="F165" s="14">
        <v>70.603015075376888</v>
      </c>
      <c r="G165" s="14">
        <v>410.87</v>
      </c>
    </row>
    <row r="166" spans="1:7" ht="13.8" x14ac:dyDescent="0.25">
      <c r="A166" s="14">
        <v>142</v>
      </c>
      <c r="B166" s="14">
        <v>406.63600640039306</v>
      </c>
      <c r="C166" s="14">
        <v>-174.30600640039304</v>
      </c>
      <c r="D166" s="14">
        <v>-2.0259528428323654</v>
      </c>
      <c r="F166" s="14">
        <v>71.105527638190949</v>
      </c>
      <c r="G166" s="14">
        <v>410.9</v>
      </c>
    </row>
    <row r="167" spans="1:7" ht="13.8" x14ac:dyDescent="0.25">
      <c r="A167" s="14">
        <v>143</v>
      </c>
      <c r="B167" s="14">
        <v>135.8977134339568</v>
      </c>
      <c r="C167" s="14">
        <v>30.072286566043203</v>
      </c>
      <c r="D167" s="14">
        <v>0.34952917410657514</v>
      </c>
      <c r="F167" s="14">
        <v>71.608040201005025</v>
      </c>
      <c r="G167" s="14">
        <v>413.36</v>
      </c>
    </row>
    <row r="168" spans="1:7" ht="13.8" x14ac:dyDescent="0.25">
      <c r="A168" s="14">
        <v>144</v>
      </c>
      <c r="B168" s="14">
        <v>556.36747208149711</v>
      </c>
      <c r="C168" s="14">
        <v>119.13252791850289</v>
      </c>
      <c r="D168" s="14">
        <v>1.3846733603424055</v>
      </c>
      <c r="F168" s="14">
        <v>72.110552763819086</v>
      </c>
      <c r="G168" s="14">
        <v>414.44</v>
      </c>
    </row>
    <row r="169" spans="1:7" ht="13.8" x14ac:dyDescent="0.25">
      <c r="A169" s="14">
        <v>145</v>
      </c>
      <c r="B169" s="14">
        <v>117.84592691104731</v>
      </c>
      <c r="C169" s="14">
        <v>16.814073088952682</v>
      </c>
      <c r="D169" s="14">
        <v>0.19542940531783101</v>
      </c>
      <c r="F169" s="14">
        <v>72.613065326633162</v>
      </c>
      <c r="G169" s="14">
        <v>422.92</v>
      </c>
    </row>
    <row r="170" spans="1:7" ht="13.8" x14ac:dyDescent="0.25">
      <c r="A170" s="14">
        <v>146</v>
      </c>
      <c r="B170" s="14">
        <v>473.88652466258753</v>
      </c>
      <c r="C170" s="14">
        <v>13.473475337412481</v>
      </c>
      <c r="D170" s="14">
        <v>0.15660175014256439</v>
      </c>
      <c r="F170" s="14">
        <v>73.115577889447238</v>
      </c>
      <c r="G170" s="14">
        <v>426.16</v>
      </c>
    </row>
    <row r="171" spans="1:7" ht="13.8" x14ac:dyDescent="0.25">
      <c r="A171" s="14">
        <v>147</v>
      </c>
      <c r="B171" s="14">
        <v>231.94287895957063</v>
      </c>
      <c r="C171" s="14">
        <v>82.797121040429374</v>
      </c>
      <c r="D171" s="14">
        <v>0.96234814975265881</v>
      </c>
      <c r="F171" s="14">
        <v>73.618090452261299</v>
      </c>
      <c r="G171" s="14">
        <v>433.58</v>
      </c>
    </row>
    <row r="172" spans="1:7" ht="13.8" x14ac:dyDescent="0.25">
      <c r="A172" s="14">
        <v>148</v>
      </c>
      <c r="B172" s="14">
        <v>108.31071913745696</v>
      </c>
      <c r="C172" s="14">
        <v>3.0792808625430439</v>
      </c>
      <c r="D172" s="14">
        <v>3.5790377774006017E-2</v>
      </c>
      <c r="F172" s="14">
        <v>74.120603015075375</v>
      </c>
      <c r="G172" s="14">
        <v>437.11</v>
      </c>
    </row>
    <row r="173" spans="1:7" ht="13.8" x14ac:dyDescent="0.25">
      <c r="A173" s="14">
        <v>149</v>
      </c>
      <c r="B173" s="14">
        <v>309.65972293506735</v>
      </c>
      <c r="C173" s="14">
        <v>8.8102770649326771</v>
      </c>
      <c r="D173" s="14">
        <v>0.10240155364950693</v>
      </c>
      <c r="F173" s="14">
        <v>74.623115577889436</v>
      </c>
      <c r="G173" s="14">
        <v>439.88</v>
      </c>
    </row>
    <row r="174" spans="1:7" ht="13.8" x14ac:dyDescent="0.25">
      <c r="A174" s="14">
        <v>150</v>
      </c>
      <c r="B174" s="14">
        <v>260.8005342038727</v>
      </c>
      <c r="C174" s="14">
        <v>40.949465796127299</v>
      </c>
      <c r="D174" s="14">
        <v>0.47595426202102314</v>
      </c>
      <c r="F174" s="14">
        <v>75.125628140703512</v>
      </c>
      <c r="G174" s="14">
        <v>440.51</v>
      </c>
    </row>
    <row r="175" spans="1:7" ht="13.8" x14ac:dyDescent="0.25">
      <c r="A175" s="14">
        <v>151</v>
      </c>
      <c r="B175" s="14">
        <v>304.61908446444693</v>
      </c>
      <c r="C175" s="14">
        <v>108.74091553555309</v>
      </c>
      <c r="D175" s="14">
        <v>1.2638919995412798</v>
      </c>
      <c r="F175" s="14">
        <v>75.628140703517587</v>
      </c>
      <c r="G175" s="14">
        <v>440.95</v>
      </c>
    </row>
    <row r="176" spans="1:7" ht="13.8" x14ac:dyDescent="0.25">
      <c r="A176" s="14">
        <v>152</v>
      </c>
      <c r="B176" s="14">
        <v>301.80472798501717</v>
      </c>
      <c r="C176" s="14">
        <v>-15.124727985017159</v>
      </c>
      <c r="D176" s="14">
        <v>-0.17579420406159138</v>
      </c>
      <c r="F176" s="14">
        <v>76.130653266331649</v>
      </c>
      <c r="G176" s="14">
        <v>441.47</v>
      </c>
    </row>
    <row r="177" spans="1:7" ht="13.8" x14ac:dyDescent="0.25">
      <c r="A177" s="14">
        <v>153</v>
      </c>
      <c r="B177" s="14">
        <v>409.96492805703195</v>
      </c>
      <c r="C177" s="14">
        <v>146.34507194296799</v>
      </c>
      <c r="D177" s="14">
        <v>1.7009638431868432</v>
      </c>
      <c r="F177" s="14">
        <v>76.633165829145725</v>
      </c>
      <c r="G177" s="14">
        <v>441.53</v>
      </c>
    </row>
    <row r="178" spans="1:7" ht="13.8" x14ac:dyDescent="0.25">
      <c r="A178" s="14">
        <v>154</v>
      </c>
      <c r="B178" s="14">
        <v>369.14275733177101</v>
      </c>
      <c r="C178" s="14">
        <v>-36.952757331771011</v>
      </c>
      <c r="D178" s="14">
        <v>-0.42950065412448807</v>
      </c>
      <c r="F178" s="14">
        <v>77.1356783919598</v>
      </c>
      <c r="G178" s="14">
        <v>441.54</v>
      </c>
    </row>
    <row r="179" spans="1:7" ht="13.8" x14ac:dyDescent="0.25">
      <c r="A179" s="14">
        <v>155</v>
      </c>
      <c r="B179" s="14">
        <v>588.49804188832002</v>
      </c>
      <c r="C179" s="14">
        <v>-252.25804188832001</v>
      </c>
      <c r="D179" s="14">
        <v>-2.9319867263611141</v>
      </c>
      <c r="F179" s="14">
        <v>77.638190954773862</v>
      </c>
      <c r="G179" s="14">
        <v>443.99</v>
      </c>
    </row>
    <row r="180" spans="1:7" ht="13.8" x14ac:dyDescent="0.25">
      <c r="A180" s="14">
        <v>156</v>
      </c>
      <c r="B180" s="14">
        <v>132.93633833246727</v>
      </c>
      <c r="C180" s="14">
        <v>47.453661667532714</v>
      </c>
      <c r="D180" s="14">
        <v>0.55155231161286222</v>
      </c>
      <c r="F180" s="14">
        <v>78.140703517587937</v>
      </c>
      <c r="G180" s="14">
        <v>445.59</v>
      </c>
    </row>
    <row r="181" spans="1:7" ht="13.8" x14ac:dyDescent="0.25">
      <c r="A181" s="14">
        <v>157</v>
      </c>
      <c r="B181" s="14">
        <v>376.76322257520206</v>
      </c>
      <c r="C181" s="14">
        <v>107.58677742479796</v>
      </c>
      <c r="D181" s="14">
        <v>1.2504774911442804</v>
      </c>
      <c r="F181" s="14">
        <v>78.643216080402013</v>
      </c>
      <c r="G181" s="14">
        <v>447.34</v>
      </c>
    </row>
    <row r="182" spans="1:7" ht="13.8" x14ac:dyDescent="0.25">
      <c r="A182" s="14">
        <v>158</v>
      </c>
      <c r="B182" s="14">
        <v>437.80395427706281</v>
      </c>
      <c r="C182" s="14">
        <v>125.01604572293724</v>
      </c>
      <c r="D182" s="14">
        <v>1.453057289662478</v>
      </c>
      <c r="F182" s="14">
        <v>79.145728643216074</v>
      </c>
      <c r="G182" s="14">
        <v>449.58</v>
      </c>
    </row>
    <row r="183" spans="1:7" ht="13.8" x14ac:dyDescent="0.25">
      <c r="A183" s="14">
        <v>159</v>
      </c>
      <c r="B183" s="14">
        <v>391.46858522456074</v>
      </c>
      <c r="C183" s="14">
        <v>55.871414775439234</v>
      </c>
      <c r="D183" s="14">
        <v>0.64939157252765844</v>
      </c>
      <c r="F183" s="14">
        <v>79.64824120603015</v>
      </c>
      <c r="G183" s="14">
        <v>450.29</v>
      </c>
    </row>
    <row r="184" spans="1:7" ht="13.8" x14ac:dyDescent="0.25">
      <c r="A184" s="14">
        <v>160</v>
      </c>
      <c r="B184" s="14">
        <v>567.98894411098308</v>
      </c>
      <c r="C184" s="14">
        <v>81.06105588901687</v>
      </c>
      <c r="D184" s="14">
        <v>0.94216992295783941</v>
      </c>
      <c r="F184" s="14">
        <v>80.150753768844211</v>
      </c>
      <c r="G184" s="14">
        <v>450.71</v>
      </c>
    </row>
    <row r="185" spans="1:7" ht="13.8" x14ac:dyDescent="0.25">
      <c r="A185" s="14">
        <v>161</v>
      </c>
      <c r="B185" s="14">
        <v>224.25240484849206</v>
      </c>
      <c r="C185" s="14">
        <v>-19.252404848492063</v>
      </c>
      <c r="D185" s="14">
        <v>-0.2237700532508681</v>
      </c>
      <c r="F185" s="14">
        <v>80.653266331658287</v>
      </c>
      <c r="G185" s="14">
        <v>451.1</v>
      </c>
    </row>
    <row r="186" spans="1:7" ht="13.8" x14ac:dyDescent="0.25">
      <c r="A186" s="14">
        <v>162</v>
      </c>
      <c r="B186" s="14">
        <v>204.83194496307382</v>
      </c>
      <c r="C186" s="14">
        <v>58.48805503692617</v>
      </c>
      <c r="D186" s="14">
        <v>0.67980469417449307</v>
      </c>
      <c r="F186" s="14">
        <v>81.155778894472363</v>
      </c>
      <c r="G186" s="14">
        <v>452.8</v>
      </c>
    </row>
    <row r="187" spans="1:7" ht="13.8" x14ac:dyDescent="0.25">
      <c r="A187" s="14">
        <v>163</v>
      </c>
      <c r="B187" s="14">
        <v>388.54221455689503</v>
      </c>
      <c r="C187" s="14">
        <v>55.447785443104976</v>
      </c>
      <c r="D187" s="14">
        <v>0.64446774306318033</v>
      </c>
      <c r="F187" s="14">
        <v>81.658291457286424</v>
      </c>
      <c r="G187" s="14">
        <v>455.97</v>
      </c>
    </row>
    <row r="188" spans="1:7" ht="13.8" x14ac:dyDescent="0.25">
      <c r="A188" s="14">
        <v>164</v>
      </c>
      <c r="B188" s="14">
        <v>384.37668693186839</v>
      </c>
      <c r="C188" s="14">
        <v>10.933313068131611</v>
      </c>
      <c r="D188" s="14">
        <v>0.12707752962383023</v>
      </c>
      <c r="F188" s="14">
        <v>82.1608040201005</v>
      </c>
      <c r="G188" s="14">
        <v>456.66</v>
      </c>
    </row>
    <row r="189" spans="1:7" ht="13.8" x14ac:dyDescent="0.25">
      <c r="A189" s="14">
        <v>165</v>
      </c>
      <c r="B189" s="14">
        <v>289.57417880699779</v>
      </c>
      <c r="C189" s="14">
        <v>45.465821193002228</v>
      </c>
      <c r="D189" s="14">
        <v>0.52844770871569435</v>
      </c>
      <c r="F189" s="14">
        <v>82.663316582914561</v>
      </c>
      <c r="G189" s="14">
        <v>460</v>
      </c>
    </row>
    <row r="190" spans="1:7" ht="13.8" x14ac:dyDescent="0.25">
      <c r="A190" s="14">
        <v>166</v>
      </c>
      <c r="B190" s="14">
        <v>259.69089365165974</v>
      </c>
      <c r="C190" s="14">
        <v>74.159106348340288</v>
      </c>
      <c r="D190" s="14">
        <v>0.8619487958619706</v>
      </c>
      <c r="F190" s="14">
        <v>83.165829145728637</v>
      </c>
      <c r="G190" s="14">
        <v>461.12</v>
      </c>
    </row>
    <row r="191" spans="1:7" ht="13.8" x14ac:dyDescent="0.25">
      <c r="A191" s="14">
        <v>167</v>
      </c>
      <c r="B191" s="14">
        <v>458.99913895734534</v>
      </c>
      <c r="C191" s="14">
        <v>72.060861042654608</v>
      </c>
      <c r="D191" s="14">
        <v>0.83756096133004487</v>
      </c>
      <c r="F191" s="14">
        <v>83.668341708542712</v>
      </c>
      <c r="G191" s="14">
        <v>468.72</v>
      </c>
    </row>
    <row r="192" spans="1:7" ht="13.8" x14ac:dyDescent="0.25">
      <c r="A192" s="14">
        <v>168</v>
      </c>
      <c r="B192" s="14">
        <v>200.68741999834148</v>
      </c>
      <c r="C192" s="14">
        <v>31.502580001658515</v>
      </c>
      <c r="D192" s="14">
        <v>0.36615342654520355</v>
      </c>
      <c r="F192" s="14">
        <v>84.170854271356774</v>
      </c>
      <c r="G192" s="14">
        <v>468.84</v>
      </c>
    </row>
    <row r="193" spans="1:7" ht="13.8" x14ac:dyDescent="0.25">
      <c r="A193" s="14">
        <v>169</v>
      </c>
      <c r="B193" s="14">
        <v>390.37644688925968</v>
      </c>
      <c r="C193" s="14">
        <v>-167.33644688925969</v>
      </c>
      <c r="D193" s="14">
        <v>-1.9449458873265675</v>
      </c>
      <c r="F193" s="14">
        <v>84.673366834170849</v>
      </c>
      <c r="G193" s="14">
        <v>472.62</v>
      </c>
    </row>
    <row r="194" spans="1:7" ht="13.8" x14ac:dyDescent="0.25">
      <c r="A194" s="14">
        <v>170</v>
      </c>
      <c r="B194" s="14">
        <v>296.08150305483349</v>
      </c>
      <c r="C194" s="14">
        <v>126.83849694516653</v>
      </c>
      <c r="D194" s="14">
        <v>1.4742395788494467</v>
      </c>
      <c r="F194" s="14">
        <v>85.175879396984925</v>
      </c>
      <c r="G194" s="14">
        <v>474.66</v>
      </c>
    </row>
    <row r="195" spans="1:7" ht="13.8" x14ac:dyDescent="0.25">
      <c r="A195" s="14">
        <v>171</v>
      </c>
      <c r="B195" s="14">
        <v>360.47565951700977</v>
      </c>
      <c r="C195" s="14">
        <v>-103.02565951700979</v>
      </c>
      <c r="D195" s="14">
        <v>-1.197463771292592</v>
      </c>
      <c r="F195" s="14">
        <v>85.678391959798986</v>
      </c>
      <c r="G195" s="14">
        <v>476.65</v>
      </c>
    </row>
    <row r="196" spans="1:7" ht="13.8" x14ac:dyDescent="0.25">
      <c r="A196" s="14">
        <v>172</v>
      </c>
      <c r="B196" s="14">
        <v>416.4932549651619</v>
      </c>
      <c r="C196" s="14">
        <v>-35.743254965161896</v>
      </c>
      <c r="D196" s="14">
        <v>-0.41544264884602689</v>
      </c>
      <c r="F196" s="14">
        <v>86.180904522613062</v>
      </c>
      <c r="G196" s="14">
        <v>480.51</v>
      </c>
    </row>
    <row r="197" spans="1:7" ht="13.8" x14ac:dyDescent="0.25">
      <c r="A197" s="14">
        <v>173</v>
      </c>
      <c r="B197" s="14">
        <v>246.52922653392855</v>
      </c>
      <c r="C197" s="14">
        <v>-21.159226533928546</v>
      </c>
      <c r="D197" s="14">
        <v>-0.24593297749061327</v>
      </c>
      <c r="F197" s="14">
        <v>86.683417085427138</v>
      </c>
      <c r="G197" s="14">
        <v>481.96</v>
      </c>
    </row>
    <row r="198" spans="1:7" ht="13.8" x14ac:dyDescent="0.25">
      <c r="A198" s="14">
        <v>174</v>
      </c>
      <c r="B198" s="14">
        <v>566.44874902273796</v>
      </c>
      <c r="C198" s="14">
        <v>16.111250977261989</v>
      </c>
      <c r="D198" s="14">
        <v>0.18726052758039696</v>
      </c>
      <c r="F198" s="14">
        <v>87.185929648241199</v>
      </c>
      <c r="G198" s="14">
        <v>484.35</v>
      </c>
    </row>
    <row r="199" spans="1:7" ht="13.8" x14ac:dyDescent="0.25">
      <c r="A199" s="14">
        <v>175</v>
      </c>
      <c r="B199" s="14">
        <v>355.09547803829889</v>
      </c>
      <c r="C199" s="14">
        <v>-10.185478038298868</v>
      </c>
      <c r="D199" s="14">
        <v>-0.1183854682545907</v>
      </c>
      <c r="F199" s="14">
        <v>87.688442211055275</v>
      </c>
      <c r="G199" s="14">
        <v>487.36</v>
      </c>
    </row>
    <row r="200" spans="1:7" ht="13.8" x14ac:dyDescent="0.25">
      <c r="A200" s="14">
        <v>176</v>
      </c>
      <c r="B200" s="14">
        <v>289.4761663922913</v>
      </c>
      <c r="C200" s="14">
        <v>41.313833607708716</v>
      </c>
      <c r="D200" s="14">
        <v>0.48018929682535633</v>
      </c>
      <c r="F200" s="14">
        <v>88.190954773869336</v>
      </c>
      <c r="G200" s="14">
        <v>492.5</v>
      </c>
    </row>
    <row r="201" spans="1:7" ht="13.8" x14ac:dyDescent="0.25">
      <c r="A201" s="14">
        <v>177</v>
      </c>
      <c r="B201" s="14">
        <v>357.82582387655168</v>
      </c>
      <c r="C201" s="14">
        <v>102.17417612344832</v>
      </c>
      <c r="D201" s="14">
        <v>1.1875670084819758</v>
      </c>
      <c r="F201" s="14">
        <v>88.693467336683412</v>
      </c>
      <c r="G201" s="14">
        <v>497.99</v>
      </c>
    </row>
    <row r="202" spans="1:7" ht="13.8" x14ac:dyDescent="0.25">
      <c r="A202" s="14">
        <v>178</v>
      </c>
      <c r="B202" s="14">
        <v>384.94025831643086</v>
      </c>
      <c r="C202" s="14">
        <v>54.939741683569139</v>
      </c>
      <c r="D202" s="14">
        <v>0.63856276755389951</v>
      </c>
      <c r="F202" s="14">
        <v>89.195979899497488</v>
      </c>
      <c r="G202" s="14">
        <v>500.1</v>
      </c>
    </row>
    <row r="203" spans="1:7" ht="13.8" x14ac:dyDescent="0.25">
      <c r="A203" s="14">
        <v>179</v>
      </c>
      <c r="B203" s="14">
        <v>248.71350320453075</v>
      </c>
      <c r="C203" s="14">
        <v>7.0764967954692395</v>
      </c>
      <c r="D203" s="14">
        <v>8.2249883960640729E-2</v>
      </c>
      <c r="F203" s="14">
        <v>89.698492462311549</v>
      </c>
      <c r="G203" s="14">
        <v>511.14</v>
      </c>
    </row>
    <row r="204" spans="1:7" ht="13.8" x14ac:dyDescent="0.25">
      <c r="A204" s="14">
        <v>180</v>
      </c>
      <c r="B204" s="14">
        <v>174.73513276141091</v>
      </c>
      <c r="C204" s="14">
        <v>-14.9951327614109</v>
      </c>
      <c r="D204" s="14">
        <v>-0.17428792314158972</v>
      </c>
      <c r="F204" s="14">
        <v>90.201005025125625</v>
      </c>
      <c r="G204" s="14">
        <v>513.38</v>
      </c>
    </row>
    <row r="205" spans="1:7" ht="13.8" x14ac:dyDescent="0.25">
      <c r="A205" s="14">
        <v>181</v>
      </c>
      <c r="B205" s="14">
        <v>372.51368430899851</v>
      </c>
      <c r="C205" s="14">
        <v>31.87631569100148</v>
      </c>
      <c r="D205" s="14">
        <v>0.37049734387730637</v>
      </c>
      <c r="F205" s="14">
        <v>90.703517587939686</v>
      </c>
      <c r="G205" s="14">
        <v>526</v>
      </c>
    </row>
    <row r="206" spans="1:7" ht="13.8" x14ac:dyDescent="0.25">
      <c r="A206" s="14">
        <v>182</v>
      </c>
      <c r="B206" s="14">
        <v>153.58545384509924</v>
      </c>
      <c r="C206" s="14">
        <v>33.984546154900755</v>
      </c>
      <c r="D206" s="14">
        <v>0.39500123556690969</v>
      </c>
      <c r="F206" s="14">
        <v>91.206030150753762</v>
      </c>
      <c r="G206" s="14">
        <v>531.05999999999995</v>
      </c>
    </row>
    <row r="207" spans="1:7" ht="13.8" x14ac:dyDescent="0.25">
      <c r="A207" s="14">
        <v>183</v>
      </c>
      <c r="B207" s="14">
        <v>302.78135168869989</v>
      </c>
      <c r="C207" s="14">
        <v>108.08864831130012</v>
      </c>
      <c r="D207" s="14">
        <v>1.2563107195581553</v>
      </c>
      <c r="F207" s="14">
        <v>91.708542713567837</v>
      </c>
      <c r="G207" s="14">
        <v>542.62</v>
      </c>
    </row>
    <row r="208" spans="1:7" ht="13.8" x14ac:dyDescent="0.25">
      <c r="A208" s="14">
        <v>184</v>
      </c>
      <c r="B208" s="14">
        <v>344.76917006029174</v>
      </c>
      <c r="C208" s="14">
        <v>-68.989170060291769</v>
      </c>
      <c r="D208" s="14">
        <v>-0.80185880047779268</v>
      </c>
      <c r="F208" s="14">
        <v>92.211055276381899</v>
      </c>
      <c r="G208" s="14">
        <v>551.98</v>
      </c>
    </row>
    <row r="209" spans="1:7" ht="13.8" x14ac:dyDescent="0.25">
      <c r="A209" s="14">
        <v>185</v>
      </c>
      <c r="B209" s="14">
        <v>522.78771871437073</v>
      </c>
      <c r="C209" s="14">
        <v>223.95228128562928</v>
      </c>
      <c r="D209" s="14">
        <v>2.6029898240408031</v>
      </c>
      <c r="F209" s="14">
        <v>92.713567839195974</v>
      </c>
      <c r="G209" s="14">
        <v>553.29999999999995</v>
      </c>
    </row>
    <row r="210" spans="1:7" ht="13.8" x14ac:dyDescent="0.25">
      <c r="A210" s="14">
        <v>186</v>
      </c>
      <c r="B210" s="14">
        <v>241.33106811110122</v>
      </c>
      <c r="C210" s="14">
        <v>68.908931888898792</v>
      </c>
      <c r="D210" s="14">
        <v>0.8009261949136226</v>
      </c>
      <c r="F210" s="14">
        <v>93.21608040201005</v>
      </c>
      <c r="G210" s="14">
        <v>556.30999999999995</v>
      </c>
    </row>
    <row r="211" spans="1:7" ht="13.8" x14ac:dyDescent="0.25">
      <c r="A211" s="14">
        <v>187</v>
      </c>
      <c r="B211" s="14">
        <v>238.81424931917337</v>
      </c>
      <c r="C211" s="14">
        <v>102.30575068082663</v>
      </c>
      <c r="D211" s="14">
        <v>1.1890962951317583</v>
      </c>
      <c r="F211" s="14">
        <v>93.718592964824111</v>
      </c>
      <c r="G211" s="14">
        <v>562.82000000000005</v>
      </c>
    </row>
    <row r="212" spans="1:7" ht="13.8" x14ac:dyDescent="0.25">
      <c r="A212" s="14">
        <v>188</v>
      </c>
      <c r="B212" s="14">
        <v>160.50933085543764</v>
      </c>
      <c r="C212" s="14">
        <v>-68.799330855437645</v>
      </c>
      <c r="D212" s="14">
        <v>-0.79965230579239566</v>
      </c>
      <c r="F212" s="14">
        <v>94.221105527638187</v>
      </c>
      <c r="G212" s="14">
        <v>581.16</v>
      </c>
    </row>
    <row r="213" spans="1:7" ht="13.8" x14ac:dyDescent="0.25">
      <c r="A213" s="14">
        <v>189</v>
      </c>
      <c r="B213" s="14">
        <v>414.54000755779651</v>
      </c>
      <c r="C213" s="14">
        <v>-82.950007557796539</v>
      </c>
      <c r="D213" s="14">
        <v>-0.96412514459573517</v>
      </c>
      <c r="F213" s="14">
        <v>94.723618090452263</v>
      </c>
      <c r="G213" s="14">
        <v>581.5</v>
      </c>
    </row>
    <row r="214" spans="1:7" ht="13.8" x14ac:dyDescent="0.25">
      <c r="A214" s="14">
        <v>190</v>
      </c>
      <c r="B214" s="14">
        <v>266.78279194435214</v>
      </c>
      <c r="C214" s="14">
        <v>114.28720805564785</v>
      </c>
      <c r="D214" s="14">
        <v>1.3283563707371571</v>
      </c>
      <c r="F214" s="14">
        <v>95.226130653266324</v>
      </c>
      <c r="G214" s="14">
        <v>582.55999999999995</v>
      </c>
    </row>
    <row r="215" spans="1:7" ht="13.8" x14ac:dyDescent="0.25">
      <c r="A215" s="14">
        <v>191</v>
      </c>
      <c r="B215" s="14">
        <v>262.78178515829717</v>
      </c>
      <c r="C215" s="14">
        <v>-7.5417851582971593</v>
      </c>
      <c r="D215" s="14">
        <v>-8.7657914933725531E-2</v>
      </c>
      <c r="F215" s="14">
        <v>95.7286432160804</v>
      </c>
      <c r="G215" s="14">
        <v>586.14</v>
      </c>
    </row>
    <row r="216" spans="1:7" ht="13.8" x14ac:dyDescent="0.25">
      <c r="A216" s="14">
        <v>192</v>
      </c>
      <c r="B216" s="14">
        <v>509.99359815178894</v>
      </c>
      <c r="C216" s="14">
        <v>182.05640184821101</v>
      </c>
      <c r="D216" s="14">
        <v>2.1160354281364735</v>
      </c>
      <c r="F216" s="14">
        <v>96.231155778894461</v>
      </c>
      <c r="G216" s="14">
        <v>649.04999999999995</v>
      </c>
    </row>
    <row r="217" spans="1:7" ht="13.8" x14ac:dyDescent="0.25">
      <c r="A217" s="14">
        <v>193</v>
      </c>
      <c r="B217" s="14">
        <v>382.73147854215205</v>
      </c>
      <c r="C217" s="14">
        <v>-38.321478542152022</v>
      </c>
      <c r="D217" s="14">
        <v>-0.44540925466259385</v>
      </c>
      <c r="F217" s="14">
        <v>96.733668341708537</v>
      </c>
      <c r="G217" s="14">
        <v>649.79</v>
      </c>
    </row>
    <row r="218" spans="1:7" ht="13.8" x14ac:dyDescent="0.25">
      <c r="A218" s="14">
        <v>194</v>
      </c>
      <c r="B218" s="14">
        <v>327.03592388517842</v>
      </c>
      <c r="C218" s="14">
        <v>70.024076114821582</v>
      </c>
      <c r="D218" s="14">
        <v>0.81388747870029121</v>
      </c>
      <c r="F218" s="14">
        <v>97.236180904522612</v>
      </c>
      <c r="G218" s="14">
        <v>672.38</v>
      </c>
    </row>
    <row r="219" spans="1:7" ht="13.8" x14ac:dyDescent="0.25">
      <c r="A219" s="14">
        <v>195</v>
      </c>
      <c r="B219" s="14">
        <v>512.93747103636656</v>
      </c>
      <c r="C219" s="14">
        <v>73.202528963633426</v>
      </c>
      <c r="D219" s="14">
        <v>0.85083052913119406</v>
      </c>
      <c r="F219" s="14">
        <v>97.738693467336674</v>
      </c>
      <c r="G219" s="14">
        <v>675.5</v>
      </c>
    </row>
    <row r="220" spans="1:7" ht="13.8" x14ac:dyDescent="0.25">
      <c r="A220" s="14">
        <v>196</v>
      </c>
      <c r="B220" s="14">
        <v>259.31284576636318</v>
      </c>
      <c r="C220" s="14">
        <v>74.047154233636832</v>
      </c>
      <c r="D220" s="14">
        <v>0.86064758020263432</v>
      </c>
      <c r="F220" s="14">
        <v>98.241206030150749</v>
      </c>
      <c r="G220" s="14">
        <v>680.18</v>
      </c>
    </row>
    <row r="221" spans="1:7" ht="13.8" x14ac:dyDescent="0.25">
      <c r="A221" s="14">
        <v>197</v>
      </c>
      <c r="B221" s="14">
        <v>190.9281838482791</v>
      </c>
      <c r="C221" s="14">
        <v>54.521816151720884</v>
      </c>
      <c r="D221" s="14">
        <v>0.63370523317040106</v>
      </c>
      <c r="F221" s="14">
        <v>98.743718592964811</v>
      </c>
      <c r="G221" s="14">
        <v>692.05</v>
      </c>
    </row>
    <row r="222" spans="1:7" ht="13.8" x14ac:dyDescent="0.25">
      <c r="A222" s="14">
        <v>198</v>
      </c>
      <c r="B222" s="14">
        <v>349.20773226914366</v>
      </c>
      <c r="C222" s="14">
        <v>29.882267730856313</v>
      </c>
      <c r="D222" s="14">
        <v>0.34732059158386919</v>
      </c>
      <c r="F222" s="14">
        <v>99.246231155778887</v>
      </c>
      <c r="G222" s="14">
        <v>746.74</v>
      </c>
    </row>
    <row r="223" spans="1:7" ht="13.8" x14ac:dyDescent="0.25">
      <c r="A223" s="14">
        <v>199</v>
      </c>
      <c r="B223" s="14">
        <v>324.95316007266513</v>
      </c>
      <c r="C223" s="14">
        <v>115.99683992733486</v>
      </c>
      <c r="D223" s="14">
        <v>1.3482273644118381</v>
      </c>
      <c r="F223" s="14">
        <v>99.748743718592962</v>
      </c>
      <c r="G223" s="14">
        <v>769.46</v>
      </c>
    </row>
  </sheetData>
  <sortState xmlns:xlrd2="http://schemas.microsoft.com/office/spreadsheetml/2017/richdata2" ref="G25:G223">
    <sortCondition ref="G25"/>
  </sortState>
  <mergeCells count="1">
    <mergeCell ref="A3:B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58B1E-C3DC-4087-A249-61D269E0C3FE}">
  <dimension ref="A1:K16"/>
  <sheetViews>
    <sheetView view="pageBreakPreview" zoomScale="60" zoomScaleNormal="100" workbookViewId="0">
      <selection activeCell="C22" sqref="C22"/>
    </sheetView>
  </sheetViews>
  <sheetFormatPr defaultRowHeight="13.8" x14ac:dyDescent="0.25"/>
  <cols>
    <col min="1" max="2" width="23.296875" customWidth="1"/>
    <col min="4" max="4" width="23.59765625" customWidth="1"/>
    <col min="5" max="5" width="16.8984375" customWidth="1"/>
    <col min="7" max="7" width="22.5" customWidth="1"/>
    <col min="8" max="8" width="15.8984375" customWidth="1"/>
    <col min="10" max="10" width="22.09765625" customWidth="1"/>
    <col min="11" max="11" width="13.59765625" customWidth="1"/>
  </cols>
  <sheetData>
    <row r="1" spans="1:11" ht="16.2" x14ac:dyDescent="0.35">
      <c r="A1" s="75" t="s">
        <v>4</v>
      </c>
      <c r="B1" s="75"/>
      <c r="D1" s="76" t="s">
        <v>5</v>
      </c>
      <c r="E1" s="77"/>
      <c r="G1" s="76" t="s">
        <v>6</v>
      </c>
      <c r="H1" s="77"/>
      <c r="J1" s="75" t="s">
        <v>8</v>
      </c>
      <c r="K1" s="75"/>
    </row>
    <row r="2" spans="1:11" ht="14.4" x14ac:dyDescent="0.3">
      <c r="A2" s="18" t="s">
        <v>110</v>
      </c>
      <c r="B2" s="14">
        <v>975.78728643216039</v>
      </c>
      <c r="D2" s="18" t="s">
        <v>110</v>
      </c>
      <c r="E2" s="14">
        <v>10.025125628140703</v>
      </c>
      <c r="G2" s="18" t="s">
        <v>110</v>
      </c>
      <c r="H2" s="14">
        <v>9.6733668341708504E-2</v>
      </c>
      <c r="J2" s="18" t="s">
        <v>110</v>
      </c>
      <c r="K2" s="14">
        <v>341.43505000000005</v>
      </c>
    </row>
    <row r="3" spans="1:11" ht="14.4" x14ac:dyDescent="0.3">
      <c r="A3" s="18" t="s">
        <v>84</v>
      </c>
      <c r="B3" s="14">
        <v>21.266301032131288</v>
      </c>
      <c r="D3" s="18" t="s">
        <v>84</v>
      </c>
      <c r="E3" s="14">
        <v>0.40014445807360788</v>
      </c>
      <c r="G3" s="18" t="s">
        <v>84</v>
      </c>
      <c r="H3" s="14">
        <v>5.1137432614679242E-3</v>
      </c>
      <c r="J3" s="18" t="s">
        <v>84</v>
      </c>
      <c r="K3" s="14">
        <v>9.6001196472332531</v>
      </c>
    </row>
    <row r="4" spans="1:11" ht="14.4" x14ac:dyDescent="0.3">
      <c r="A4" s="18" t="s">
        <v>111</v>
      </c>
      <c r="B4" s="14">
        <v>973.26</v>
      </c>
      <c r="D4" s="18" t="s">
        <v>111</v>
      </c>
      <c r="E4" s="14">
        <v>10</v>
      </c>
      <c r="G4" s="18" t="s">
        <v>111</v>
      </c>
      <c r="H4" s="14">
        <v>0.1</v>
      </c>
      <c r="J4" s="18" t="s">
        <v>111</v>
      </c>
      <c r="K4" s="14">
        <v>332.255</v>
      </c>
    </row>
    <row r="5" spans="1:11" ht="14.4" x14ac:dyDescent="0.3">
      <c r="A5" s="18" t="s">
        <v>112</v>
      </c>
      <c r="B5" s="14" t="e">
        <v>#N/A</v>
      </c>
      <c r="D5" s="18" t="s">
        <v>112</v>
      </c>
      <c r="E5" s="14">
        <v>8</v>
      </c>
      <c r="G5" s="18" t="s">
        <v>112</v>
      </c>
      <c r="H5" s="14">
        <v>0</v>
      </c>
      <c r="J5" s="18" t="s">
        <v>112</v>
      </c>
      <c r="K5" s="14" t="e">
        <v>#N/A</v>
      </c>
    </row>
    <row r="6" spans="1:11" ht="14.4" x14ac:dyDescent="0.3">
      <c r="A6" s="18" t="s">
        <v>113</v>
      </c>
      <c r="B6" s="14">
        <v>299.9980939243722</v>
      </c>
      <c r="D6" s="18" t="s">
        <v>113</v>
      </c>
      <c r="E6" s="14">
        <v>5.6447322237708715</v>
      </c>
      <c r="G6" s="18" t="s">
        <v>113</v>
      </c>
      <c r="H6" s="14">
        <v>7.2138226057323535E-2</v>
      </c>
      <c r="J6" s="18" t="s">
        <v>113</v>
      </c>
      <c r="K6" s="14">
        <v>135.7661940552168</v>
      </c>
    </row>
    <row r="7" spans="1:11" ht="14.4" x14ac:dyDescent="0.3">
      <c r="A7" s="18" t="s">
        <v>114</v>
      </c>
      <c r="B7" s="14">
        <v>89998.856358256453</v>
      </c>
      <c r="D7" s="18" t="s">
        <v>114</v>
      </c>
      <c r="E7" s="14">
        <v>31.863001878077252</v>
      </c>
      <c r="G7" s="18" t="s">
        <v>114</v>
      </c>
      <c r="H7" s="14">
        <v>5.2039236586975124E-3</v>
      </c>
      <c r="J7" s="18" t="s">
        <v>114</v>
      </c>
      <c r="K7" s="14">
        <v>18432.459448238787</v>
      </c>
    </row>
    <row r="8" spans="1:11" ht="14.4" x14ac:dyDescent="0.3">
      <c r="A8" s="18" t="s">
        <v>115</v>
      </c>
      <c r="B8" s="14">
        <v>-0.10144708104707512</v>
      </c>
      <c r="D8" s="18" t="s">
        <v>115</v>
      </c>
      <c r="E8" s="14">
        <v>-1.2052157626509212</v>
      </c>
      <c r="G8" s="18" t="s">
        <v>115</v>
      </c>
      <c r="H8" s="14">
        <v>-1.3175587852575268</v>
      </c>
      <c r="J8" s="18" t="s">
        <v>115</v>
      </c>
      <c r="K8" s="14">
        <v>0.26450643813582442</v>
      </c>
    </row>
    <row r="9" spans="1:11" ht="14.4" x14ac:dyDescent="0.3">
      <c r="A9" s="18" t="s">
        <v>116</v>
      </c>
      <c r="B9" s="14">
        <v>0.14954551654117604</v>
      </c>
      <c r="D9" s="18" t="s">
        <v>116</v>
      </c>
      <c r="E9" s="14">
        <v>5.1156000989616236E-2</v>
      </c>
      <c r="G9" s="18" t="s">
        <v>116</v>
      </c>
      <c r="H9" s="14">
        <v>0.10503298442946726</v>
      </c>
      <c r="J9" s="18" t="s">
        <v>116</v>
      </c>
      <c r="K9" s="14">
        <v>0.57339636063424715</v>
      </c>
    </row>
    <row r="10" spans="1:11" ht="14.4" x14ac:dyDescent="0.3">
      <c r="A10" s="18" t="s">
        <v>117</v>
      </c>
      <c r="B10" s="14">
        <v>1665.15</v>
      </c>
      <c r="D10" s="18" t="s">
        <v>117</v>
      </c>
      <c r="E10" s="14">
        <v>18</v>
      </c>
      <c r="G10" s="18" t="s">
        <v>117</v>
      </c>
      <c r="H10" s="14">
        <v>0.2</v>
      </c>
      <c r="J10" s="18" t="s">
        <v>117</v>
      </c>
      <c r="K10" s="14">
        <v>704.83</v>
      </c>
    </row>
    <row r="11" spans="1:11" ht="14.4" x14ac:dyDescent="0.3">
      <c r="A11" s="18" t="s">
        <v>77</v>
      </c>
      <c r="B11" s="14">
        <v>258.51</v>
      </c>
      <c r="D11" s="18" t="s">
        <v>77</v>
      </c>
      <c r="E11" s="14">
        <v>1</v>
      </c>
      <c r="G11" s="18" t="s">
        <v>77</v>
      </c>
      <c r="H11" s="14">
        <v>0</v>
      </c>
      <c r="J11" s="18" t="s">
        <v>77</v>
      </c>
      <c r="K11" s="14">
        <v>64.63</v>
      </c>
    </row>
    <row r="12" spans="1:11" ht="14.4" x14ac:dyDescent="0.3">
      <c r="A12" s="18" t="s">
        <v>76</v>
      </c>
      <c r="B12" s="14">
        <v>1923.66</v>
      </c>
      <c r="D12" s="18" t="s">
        <v>76</v>
      </c>
      <c r="E12" s="14">
        <v>19</v>
      </c>
      <c r="G12" s="18" t="s">
        <v>76</v>
      </c>
      <c r="H12" s="14">
        <v>0.2</v>
      </c>
      <c r="J12" s="18" t="s">
        <v>76</v>
      </c>
      <c r="K12" s="14">
        <v>769.46</v>
      </c>
    </row>
    <row r="13" spans="1:11" ht="14.4" x14ac:dyDescent="0.3">
      <c r="A13" s="18" t="s">
        <v>118</v>
      </c>
      <c r="B13" s="14">
        <v>194181.66999999993</v>
      </c>
      <c r="D13" s="18" t="s">
        <v>118</v>
      </c>
      <c r="E13" s="14">
        <v>1995</v>
      </c>
      <c r="G13" s="18" t="s">
        <v>118</v>
      </c>
      <c r="H13" s="14">
        <v>19.249999999999993</v>
      </c>
      <c r="J13" s="18" t="s">
        <v>118</v>
      </c>
      <c r="K13" s="14">
        <v>68287.010000000009</v>
      </c>
    </row>
    <row r="14" spans="1:11" ht="14.4" x14ac:dyDescent="0.3">
      <c r="A14" s="18" t="s">
        <v>78</v>
      </c>
      <c r="B14" s="14">
        <v>199</v>
      </c>
      <c r="D14" s="18" t="s">
        <v>78</v>
      </c>
      <c r="E14" s="14">
        <v>199</v>
      </c>
      <c r="G14" s="18" t="s">
        <v>78</v>
      </c>
      <c r="H14" s="14">
        <v>199</v>
      </c>
      <c r="J14" s="18" t="s">
        <v>78</v>
      </c>
      <c r="K14" s="14">
        <v>200</v>
      </c>
    </row>
    <row r="15" spans="1:11" ht="14.4" x14ac:dyDescent="0.3">
      <c r="A15" s="18" t="s">
        <v>119</v>
      </c>
      <c r="B15" s="14">
        <v>41.9375173242912</v>
      </c>
      <c r="D15" s="18" t="s">
        <v>119</v>
      </c>
      <c r="E15" s="14">
        <v>0.78909186498049222</v>
      </c>
      <c r="G15" s="18" t="s">
        <v>119</v>
      </c>
      <c r="H15" s="14">
        <v>1.0084391088782388E-2</v>
      </c>
      <c r="J15" s="18" t="s">
        <v>119</v>
      </c>
      <c r="K15" s="14">
        <v>18.931018763961465</v>
      </c>
    </row>
    <row r="16" spans="1:11" ht="14.4" x14ac:dyDescent="0.3">
      <c r="A16" s="13"/>
    </row>
  </sheetData>
  <mergeCells count="4">
    <mergeCell ref="A1:B1"/>
    <mergeCell ref="D1:E1"/>
    <mergeCell ref="G1:H1"/>
    <mergeCell ref="J1:K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25F49-1EFE-46F3-89F2-096CB3191140}">
  <dimension ref="A1:E14"/>
  <sheetViews>
    <sheetView view="pageBreakPreview" zoomScale="60" zoomScaleNormal="100" workbookViewId="0">
      <selection activeCell="F22" sqref="F22"/>
    </sheetView>
  </sheetViews>
  <sheetFormatPr defaultRowHeight="13.8" x14ac:dyDescent="0.25"/>
  <cols>
    <col min="1" max="1" width="15" customWidth="1"/>
    <col min="2" max="2" width="13.69921875" customWidth="1"/>
    <col min="3" max="3" width="17.69921875" customWidth="1"/>
    <col min="4" max="4" width="17.59765625" customWidth="1"/>
    <col min="5" max="5" width="18.796875" customWidth="1"/>
  </cols>
  <sheetData>
    <row r="1" spans="1:5" ht="14.4" x14ac:dyDescent="0.3">
      <c r="A1" s="37" t="s">
        <v>120</v>
      </c>
      <c r="B1" s="37" t="s">
        <v>121</v>
      </c>
      <c r="C1" s="37" t="s">
        <v>122</v>
      </c>
      <c r="D1" s="37" t="s">
        <v>123</v>
      </c>
      <c r="E1" s="37" t="s">
        <v>124</v>
      </c>
    </row>
    <row r="2" spans="1:5" x14ac:dyDescent="0.25">
      <c r="A2" s="41">
        <f>MIN(Dataset!H:H)</f>
        <v>45392</v>
      </c>
      <c r="B2" s="40" cm="1">
        <f t="array" ref="B2">SUMPRODUCT((MONTH(Dataset!H$2:H$201)=MONTH(A2))*(YEAR(Dataset!H$2:H$201)=YEAR(A2))*Dataset!E$2:E$201)</f>
        <v>19029.96</v>
      </c>
      <c r="C2" s="40" t="str">
        <f>IF(ROW()=2,"—",B2-B1)</f>
        <v>—</v>
      </c>
      <c r="D2" s="40" t="str">
        <f>IF(ROW()=2,"—",(B2-B1)/B1)</f>
        <v>—</v>
      </c>
      <c r="E2" s="40" t="b">
        <f>F9=IF(C2="—","—",IF(C2&gt;0,"▲","▼"))</f>
        <v>0</v>
      </c>
    </row>
    <row r="3" spans="1:5" x14ac:dyDescent="0.25">
      <c r="A3" s="41">
        <f>EDATE(A2,1)</f>
        <v>45422</v>
      </c>
      <c r="B3" s="40" cm="1">
        <f t="array" ref="B3">SUMPRODUCT((MONTH(Dataset!H$2:H$201)=MONTH(A3))*(YEAR(Dataset!H$2:H$201)=YEAR(A3))*Dataset!E$2:E$201)</f>
        <v>18507.339999999997</v>
      </c>
      <c r="C3" s="40">
        <f t="shared" ref="C3:C14" si="0">IF(ROW()=2,"—",B3-B2)</f>
        <v>-522.62000000000262</v>
      </c>
      <c r="D3" s="40">
        <f t="shared" ref="D3:D14" si="1">IF(ROW()=2,"—",(B3-B2)/B2)</f>
        <v>-2.7463010957458799E-2</v>
      </c>
      <c r="E3" s="40" t="str">
        <f t="shared" ref="E3:E14" si="2">IF(C3="—","—",IF(C3&gt;0,"▲","▼"))</f>
        <v>▼</v>
      </c>
    </row>
    <row r="4" spans="1:5" x14ac:dyDescent="0.25">
      <c r="A4" s="41">
        <f>EDATE(A2,2)</f>
        <v>45453</v>
      </c>
      <c r="B4" s="40" cm="1">
        <f t="array" ref="B4">SUMPRODUCT((MONTH(Dataset!H$2:H$201)=MONTH(A4))*(YEAR(Dataset!H$2:H$201)=YEAR(A4))*Dataset!E$2:E$201)</f>
        <v>20187.509999999998</v>
      </c>
      <c r="C4" s="40">
        <f t="shared" si="0"/>
        <v>1680.1700000000019</v>
      </c>
      <c r="D4" s="40">
        <f t="shared" si="1"/>
        <v>9.0783980842195702E-2</v>
      </c>
      <c r="E4" s="40" t="str">
        <f t="shared" si="2"/>
        <v>▲</v>
      </c>
    </row>
    <row r="5" spans="1:5" x14ac:dyDescent="0.25">
      <c r="A5" s="41">
        <f t="shared" ref="A5" si="3">EDATE(A4,1)</f>
        <v>45483</v>
      </c>
      <c r="B5" s="40" cm="1">
        <f t="array" ref="B5">SUMPRODUCT((MONTH(Dataset!H$2:H$201)=MONTH(A5))*(YEAR(Dataset!H$2:H$201)=YEAR(A5))*Dataset!E$2:E$201)</f>
        <v>11609.039999999999</v>
      </c>
      <c r="C5" s="40">
        <f t="shared" si="0"/>
        <v>-8578.4699999999993</v>
      </c>
      <c r="D5" s="40">
        <f t="shared" si="1"/>
        <v>-0.42493947990614001</v>
      </c>
      <c r="E5" s="40" t="str">
        <f t="shared" si="2"/>
        <v>▼</v>
      </c>
    </row>
    <row r="6" spans="1:5" x14ac:dyDescent="0.25">
      <c r="A6" s="41">
        <f t="shared" ref="A6" si="4">EDATE(A4,2)</f>
        <v>45514</v>
      </c>
      <c r="B6" s="40" cm="1">
        <f t="array" ref="B6">SUMPRODUCT((MONTH(Dataset!H$2:H$201)=MONTH(A6))*(YEAR(Dataset!H$2:H$201)=YEAR(A6))*Dataset!E$2:E$201)</f>
        <v>10091.699999999999</v>
      </c>
      <c r="C6" s="40">
        <f t="shared" si="0"/>
        <v>-1517.3400000000001</v>
      </c>
      <c r="D6" s="40">
        <f t="shared" si="1"/>
        <v>-0.13070331396911375</v>
      </c>
      <c r="E6" s="40" t="str">
        <f t="shared" si="2"/>
        <v>▼</v>
      </c>
    </row>
    <row r="7" spans="1:5" x14ac:dyDescent="0.25">
      <c r="A7" s="41">
        <f t="shared" ref="A7" si="5">EDATE(A6,1)</f>
        <v>45545</v>
      </c>
      <c r="B7" s="40" cm="1">
        <f t="array" ref="B7">SUMPRODUCT((MONTH(Dataset!H$2:H$201)=MONTH(A7))*(YEAR(Dataset!H$2:H$201)=YEAR(A7))*Dataset!E$2:E$201)</f>
        <v>20533.499999999996</v>
      </c>
      <c r="C7" s="40">
        <f t="shared" si="0"/>
        <v>10441.799999999997</v>
      </c>
      <c r="D7" s="40">
        <f t="shared" si="1"/>
        <v>1.0346918755016496</v>
      </c>
      <c r="E7" s="40" t="str">
        <f t="shared" si="2"/>
        <v>▲</v>
      </c>
    </row>
    <row r="8" spans="1:5" x14ac:dyDescent="0.25">
      <c r="A8" s="41">
        <f t="shared" ref="A8" si="6">EDATE(A6,2)</f>
        <v>45575</v>
      </c>
      <c r="B8" s="40" cm="1">
        <f t="array" ref="B8">SUMPRODUCT((MONTH(Dataset!H$2:H$201)=MONTH(A8))*(YEAR(Dataset!H$2:H$201)=YEAR(A8))*Dataset!E$2:E$201)</f>
        <v>14215.240000000002</v>
      </c>
      <c r="C8" s="40">
        <f t="shared" si="0"/>
        <v>-6318.2599999999948</v>
      </c>
      <c r="D8" s="40">
        <f t="shared" si="1"/>
        <v>-0.30770496992719193</v>
      </c>
      <c r="E8" s="40" t="str">
        <f t="shared" si="2"/>
        <v>▼</v>
      </c>
    </row>
    <row r="9" spans="1:5" x14ac:dyDescent="0.25">
      <c r="A9" s="41">
        <f t="shared" ref="A9" si="7">EDATE(A8,1)</f>
        <v>45606</v>
      </c>
      <c r="B9" s="40" cm="1">
        <f t="array" ref="B9">SUMPRODUCT((MONTH(Dataset!H$2:H$201)=MONTH(A9))*(YEAR(Dataset!H$2:H$201)=YEAR(A9))*Dataset!E$2:E$201)</f>
        <v>20135.030000000002</v>
      </c>
      <c r="C9" s="40">
        <f t="shared" si="0"/>
        <v>5919.7900000000009</v>
      </c>
      <c r="D9" s="40">
        <f t="shared" si="1"/>
        <v>0.4164396802305132</v>
      </c>
      <c r="E9" s="40" t="str">
        <f t="shared" si="2"/>
        <v>▲</v>
      </c>
    </row>
    <row r="10" spans="1:5" x14ac:dyDescent="0.25">
      <c r="A10" s="41">
        <f t="shared" ref="A10" si="8">EDATE(A8,2)</f>
        <v>45636</v>
      </c>
      <c r="B10" s="40" cm="1">
        <f t="array" ref="B10">SUMPRODUCT((MONTH(Dataset!H$2:H$201)=MONTH(A10))*(YEAR(Dataset!H$2:H$201)=YEAR(A10))*Dataset!E$2:E$201)</f>
        <v>11120.04</v>
      </c>
      <c r="C10" s="40">
        <f t="shared" si="0"/>
        <v>-9014.9900000000016</v>
      </c>
      <c r="D10" s="40">
        <f t="shared" si="1"/>
        <v>-0.44772667336477773</v>
      </c>
      <c r="E10" s="40" t="str">
        <f t="shared" si="2"/>
        <v>▼</v>
      </c>
    </row>
    <row r="11" spans="1:5" x14ac:dyDescent="0.25">
      <c r="A11" s="41">
        <f t="shared" ref="A11" si="9">EDATE(A10,1)</f>
        <v>45667</v>
      </c>
      <c r="B11" s="40" cm="1">
        <f t="array" ref="B11">SUMPRODUCT((MONTH(Dataset!H$2:H$201)=MONTH(A11))*(YEAR(Dataset!H$2:H$201)=YEAR(A11))*Dataset!E$2:E$201)</f>
        <v>14914.650000000001</v>
      </c>
      <c r="C11" s="40">
        <f t="shared" si="0"/>
        <v>3794.6100000000006</v>
      </c>
      <c r="D11" s="40">
        <f t="shared" si="1"/>
        <v>0.34124067899036337</v>
      </c>
      <c r="E11" s="40" t="str">
        <f t="shared" si="2"/>
        <v>▲</v>
      </c>
    </row>
    <row r="12" spans="1:5" x14ac:dyDescent="0.25">
      <c r="A12" s="41">
        <f t="shared" ref="A12" si="10">EDATE(A10,2)</f>
        <v>45698</v>
      </c>
      <c r="B12" s="40" cm="1">
        <f t="array" ref="B12">SUMPRODUCT((MONTH(Dataset!H$2:H$201)=MONTH(A12))*(YEAR(Dataset!H$2:H$201)=YEAR(A12))*Dataset!E$2:E$201)</f>
        <v>14006.359999999999</v>
      </c>
      <c r="C12" s="40">
        <f t="shared" si="0"/>
        <v>-908.29000000000269</v>
      </c>
      <c r="D12" s="40">
        <f t="shared" si="1"/>
        <v>-6.0899183018039482E-2</v>
      </c>
      <c r="E12" s="40" t="str">
        <f t="shared" si="2"/>
        <v>▼</v>
      </c>
    </row>
    <row r="13" spans="1:5" x14ac:dyDescent="0.25">
      <c r="A13" s="41">
        <f t="shared" ref="A13" si="11">EDATE(A12,1)</f>
        <v>45726</v>
      </c>
      <c r="B13" s="40" cm="1">
        <f t="array" ref="B13">SUMPRODUCT((MONTH(Dataset!H$2:H$201)=MONTH(A13))*(YEAR(Dataset!H$2:H$201)=YEAR(A13))*Dataset!E$2:E$201)</f>
        <v>17655.219999999998</v>
      </c>
      <c r="C13" s="40">
        <f t="shared" si="0"/>
        <v>3648.8599999999988</v>
      </c>
      <c r="D13" s="40">
        <f t="shared" si="1"/>
        <v>0.26051450912299834</v>
      </c>
      <c r="E13" s="40" t="str">
        <f t="shared" si="2"/>
        <v>▲</v>
      </c>
    </row>
    <row r="14" spans="1:5" x14ac:dyDescent="0.25">
      <c r="A14" s="41">
        <f t="shared" ref="A14" si="12">EDATE(A12,2)</f>
        <v>45757</v>
      </c>
      <c r="B14" s="40" cm="1">
        <f t="array" ref="B14">SUMPRODUCT((MONTH(Dataset!H$2:H$201)=MONTH(A14))*(YEAR(Dataset!H$2:H$201)=YEAR(A14))*Dataset!E$2:E$201)</f>
        <v>3212.17</v>
      </c>
      <c r="C14" s="40">
        <f t="shared" si="0"/>
        <v>-14443.049999999997</v>
      </c>
      <c r="D14" s="40">
        <f t="shared" si="1"/>
        <v>-0.81806117397574196</v>
      </c>
      <c r="E14" s="40" t="str">
        <f t="shared" si="2"/>
        <v>▼</v>
      </c>
    </row>
  </sheetData>
  <conditionalFormatting sqref="A1:E14">
    <cfRule type="cellIs" dxfId="2" priority="1" operator="equal">
      <formula>$E$3</formula>
    </cfRule>
    <cfRule type="cellIs" dxfId="1" priority="2" operator="equal">
      <formula>$E$4</formula>
    </cfRule>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1611C-D60F-4813-B109-39008B8FC5B0}">
  <dimension ref="A1:D201"/>
  <sheetViews>
    <sheetView view="pageBreakPreview" zoomScale="60" zoomScaleNormal="100" workbookViewId="0">
      <selection activeCell="D201" sqref="D201"/>
    </sheetView>
  </sheetViews>
  <sheetFormatPr defaultRowHeight="14.4" x14ac:dyDescent="0.25"/>
  <cols>
    <col min="1" max="1" width="19.69921875" customWidth="1"/>
    <col min="2" max="2" width="25" customWidth="1"/>
    <col min="3" max="3" width="14.8984375" style="3" customWidth="1"/>
    <col min="4" max="4" width="18.69921875" customWidth="1"/>
  </cols>
  <sheetData>
    <row r="1" spans="1:4" x14ac:dyDescent="0.3">
      <c r="A1" s="37" t="s">
        <v>0</v>
      </c>
      <c r="B1" s="4" t="s">
        <v>1</v>
      </c>
      <c r="C1" s="5" t="s">
        <v>4</v>
      </c>
      <c r="D1" s="38" t="s">
        <v>125</v>
      </c>
    </row>
    <row r="2" spans="1:4" ht="13.8" x14ac:dyDescent="0.25">
      <c r="A2" s="6" t="s">
        <v>9</v>
      </c>
      <c r="B2" s="6" t="s">
        <v>10</v>
      </c>
      <c r="C2" s="7">
        <v>1036.0899999999999</v>
      </c>
      <c r="D2" s="39">
        <f ca="1">NOW()</f>
        <v>46165.923026041666</v>
      </c>
    </row>
    <row r="3" spans="1:4" ht="13.8" x14ac:dyDescent="0.25">
      <c r="A3" s="6" t="s">
        <v>13</v>
      </c>
      <c r="B3" s="6" t="s">
        <v>14</v>
      </c>
      <c r="C3" s="7">
        <v>1101.28</v>
      </c>
      <c r="D3" s="39">
        <f t="shared" ref="D3:D66" ca="1" si="0">NOW()</f>
        <v>46165.923026041666</v>
      </c>
    </row>
    <row r="4" spans="1:4" ht="13.8" x14ac:dyDescent="0.25">
      <c r="A4" s="6" t="s">
        <v>16</v>
      </c>
      <c r="B4" s="6" t="s">
        <v>17</v>
      </c>
      <c r="C4" s="7">
        <v>713.34</v>
      </c>
      <c r="D4" s="39">
        <f t="shared" ca="1" si="0"/>
        <v>46165.923026041666</v>
      </c>
    </row>
    <row r="5" spans="1:4" ht="13.8" x14ac:dyDescent="0.25">
      <c r="A5" s="6" t="s">
        <v>19</v>
      </c>
      <c r="B5" s="6" t="s">
        <v>14</v>
      </c>
      <c r="C5" s="7">
        <v>760.93</v>
      </c>
      <c r="D5" s="39">
        <f t="shared" ca="1" si="0"/>
        <v>46165.923026041666</v>
      </c>
    </row>
    <row r="6" spans="1:4" ht="13.8" x14ac:dyDescent="0.25">
      <c r="A6" s="6" t="s">
        <v>22</v>
      </c>
      <c r="B6" s="6" t="s">
        <v>23</v>
      </c>
      <c r="C6" s="7">
        <v>847</v>
      </c>
      <c r="D6" s="39">
        <f t="shared" ca="1" si="0"/>
        <v>46165.923026041666</v>
      </c>
    </row>
    <row r="7" spans="1:4" ht="13.8" x14ac:dyDescent="0.25">
      <c r="A7" s="6" t="s">
        <v>25</v>
      </c>
      <c r="B7" s="6" t="s">
        <v>26</v>
      </c>
      <c r="C7" s="7">
        <v>965.64</v>
      </c>
      <c r="D7" s="39">
        <f t="shared" ca="1" si="0"/>
        <v>46165.923026041666</v>
      </c>
    </row>
    <row r="8" spans="1:4" ht="13.8" x14ac:dyDescent="0.25">
      <c r="A8" s="6" t="s">
        <v>28</v>
      </c>
      <c r="B8" s="6" t="s">
        <v>29</v>
      </c>
      <c r="C8" s="7">
        <v>1317.53</v>
      </c>
      <c r="D8" s="39">
        <f t="shared" ca="1" si="0"/>
        <v>46165.923026041666</v>
      </c>
    </row>
    <row r="9" spans="1:4" ht="13.8" x14ac:dyDescent="0.25">
      <c r="A9" s="6" t="s">
        <v>30</v>
      </c>
      <c r="B9" s="6" t="s">
        <v>31</v>
      </c>
      <c r="C9" s="7">
        <v>1074.47</v>
      </c>
      <c r="D9" s="39">
        <f t="shared" ca="1" si="0"/>
        <v>46165.923026041666</v>
      </c>
    </row>
    <row r="10" spans="1:4" ht="13.8" x14ac:dyDescent="0.25">
      <c r="A10" s="6" t="s">
        <v>32</v>
      </c>
      <c r="B10" s="6" t="s">
        <v>33</v>
      </c>
      <c r="C10" s="7">
        <v>501.54</v>
      </c>
      <c r="D10" s="39">
        <f t="shared" ca="1" si="0"/>
        <v>46165.923026041666</v>
      </c>
    </row>
    <row r="11" spans="1:4" ht="13.8" x14ac:dyDescent="0.25">
      <c r="A11" s="6" t="s">
        <v>35</v>
      </c>
      <c r="B11" s="6" t="s">
        <v>36</v>
      </c>
      <c r="C11" s="7">
        <v>737.31</v>
      </c>
      <c r="D11" s="39">
        <f t="shared" ca="1" si="0"/>
        <v>46165.923026041666</v>
      </c>
    </row>
    <row r="12" spans="1:4" ht="13.8" x14ac:dyDescent="0.25">
      <c r="A12" s="6" t="s">
        <v>37</v>
      </c>
      <c r="B12" s="6" t="s">
        <v>38</v>
      </c>
      <c r="C12" s="7">
        <v>1572.82</v>
      </c>
      <c r="D12" s="39">
        <f t="shared" ca="1" si="0"/>
        <v>46165.923026041666</v>
      </c>
    </row>
    <row r="13" spans="1:4" ht="13.8" x14ac:dyDescent="0.25">
      <c r="A13" s="6" t="s">
        <v>37</v>
      </c>
      <c r="B13" s="6" t="s">
        <v>36</v>
      </c>
      <c r="C13" s="7">
        <v>1343.13</v>
      </c>
      <c r="D13" s="39">
        <f t="shared" ca="1" si="0"/>
        <v>46165.923026041666</v>
      </c>
    </row>
    <row r="14" spans="1:4" ht="13.8" x14ac:dyDescent="0.25">
      <c r="A14" s="6" t="s">
        <v>25</v>
      </c>
      <c r="B14" s="6" t="s">
        <v>26</v>
      </c>
      <c r="C14" s="7">
        <v>1191.58</v>
      </c>
      <c r="D14" s="39">
        <f t="shared" ca="1" si="0"/>
        <v>46165.923026041666</v>
      </c>
    </row>
    <row r="15" spans="1:4" ht="13.8" x14ac:dyDescent="0.25">
      <c r="A15" s="6" t="s">
        <v>40</v>
      </c>
      <c r="B15" s="6" t="s">
        <v>14</v>
      </c>
      <c r="C15" s="7">
        <v>822.28</v>
      </c>
      <c r="D15" s="39">
        <f t="shared" ca="1" si="0"/>
        <v>46165.923026041666</v>
      </c>
    </row>
    <row r="16" spans="1:4" ht="13.8" x14ac:dyDescent="0.25">
      <c r="A16" s="6" t="s">
        <v>41</v>
      </c>
      <c r="B16" s="6" t="s">
        <v>42</v>
      </c>
      <c r="C16" s="7">
        <v>521.66999999999996</v>
      </c>
      <c r="D16" s="39">
        <f t="shared" ca="1" si="0"/>
        <v>46165.923026041666</v>
      </c>
    </row>
    <row r="17" spans="1:4" ht="13.8" x14ac:dyDescent="0.25">
      <c r="A17" s="6" t="s">
        <v>19</v>
      </c>
      <c r="B17" s="6" t="s">
        <v>43</v>
      </c>
      <c r="C17" s="7">
        <v>1502.93</v>
      </c>
      <c r="D17" s="39">
        <f t="shared" ca="1" si="0"/>
        <v>46165.923026041666</v>
      </c>
    </row>
    <row r="18" spans="1:4" ht="13.8" x14ac:dyDescent="0.25">
      <c r="A18" s="6" t="s">
        <v>44</v>
      </c>
      <c r="B18" s="6" t="s">
        <v>14</v>
      </c>
      <c r="C18" s="7">
        <v>877.58</v>
      </c>
      <c r="D18" s="39">
        <f t="shared" ca="1" si="0"/>
        <v>46165.923026041666</v>
      </c>
    </row>
    <row r="19" spans="1:4" ht="13.8" x14ac:dyDescent="0.25">
      <c r="A19" s="6" t="s">
        <v>28</v>
      </c>
      <c r="B19" s="6" t="s">
        <v>45</v>
      </c>
      <c r="C19" s="7">
        <v>636.70000000000005</v>
      </c>
      <c r="D19" s="39">
        <f t="shared" ca="1" si="0"/>
        <v>46165.923026041666</v>
      </c>
    </row>
    <row r="20" spans="1:4" ht="13.8" x14ac:dyDescent="0.25">
      <c r="A20" s="6" t="s">
        <v>46</v>
      </c>
      <c r="B20" s="6" t="s">
        <v>47</v>
      </c>
      <c r="C20" s="7">
        <v>1506.14</v>
      </c>
      <c r="D20" s="39">
        <f t="shared" ca="1" si="0"/>
        <v>46165.923026041666</v>
      </c>
    </row>
    <row r="21" spans="1:4" ht="13.8" x14ac:dyDescent="0.25">
      <c r="A21" s="6" t="s">
        <v>30</v>
      </c>
      <c r="B21" s="6" t="s">
        <v>31</v>
      </c>
      <c r="C21" s="7">
        <v>645.02</v>
      </c>
      <c r="D21" s="39">
        <f t="shared" ca="1" si="0"/>
        <v>46165.923026041666</v>
      </c>
    </row>
    <row r="22" spans="1:4" ht="13.8" x14ac:dyDescent="0.25">
      <c r="A22" s="6" t="s">
        <v>25</v>
      </c>
      <c r="B22" s="6" t="s">
        <v>48</v>
      </c>
      <c r="C22" s="7">
        <v>953.3</v>
      </c>
      <c r="D22" s="39">
        <f t="shared" ca="1" si="0"/>
        <v>46165.923026041666</v>
      </c>
    </row>
    <row r="23" spans="1:4" ht="13.8" x14ac:dyDescent="0.25">
      <c r="A23" s="6" t="s">
        <v>49</v>
      </c>
      <c r="B23" s="6" t="s">
        <v>14</v>
      </c>
      <c r="C23" s="7">
        <v>388.56</v>
      </c>
      <c r="D23" s="39">
        <f t="shared" ca="1" si="0"/>
        <v>46165.923026041666</v>
      </c>
    </row>
    <row r="24" spans="1:4" ht="13.8" x14ac:dyDescent="0.25">
      <c r="A24" s="6" t="s">
        <v>9</v>
      </c>
      <c r="B24" s="6" t="s">
        <v>31</v>
      </c>
      <c r="C24" s="7">
        <v>743.17</v>
      </c>
      <c r="D24" s="39">
        <f t="shared" ca="1" si="0"/>
        <v>46165.923026041666</v>
      </c>
    </row>
    <row r="25" spans="1:4" ht="13.8" x14ac:dyDescent="0.25">
      <c r="A25" s="6" t="s">
        <v>40</v>
      </c>
      <c r="B25" s="6" t="s">
        <v>31</v>
      </c>
      <c r="C25" s="7">
        <v>706.37</v>
      </c>
      <c r="D25" s="39">
        <f t="shared" ca="1" si="0"/>
        <v>46165.923026041666</v>
      </c>
    </row>
    <row r="26" spans="1:4" ht="13.8" x14ac:dyDescent="0.25">
      <c r="A26" s="6" t="s">
        <v>13</v>
      </c>
      <c r="B26" s="6" t="s">
        <v>31</v>
      </c>
      <c r="C26" s="7">
        <v>925.31</v>
      </c>
      <c r="D26" s="39">
        <f t="shared" ca="1" si="0"/>
        <v>46165.923026041666</v>
      </c>
    </row>
    <row r="27" spans="1:4" ht="13.8" x14ac:dyDescent="0.25">
      <c r="A27" s="6" t="s">
        <v>35</v>
      </c>
      <c r="B27" s="6" t="s">
        <v>50</v>
      </c>
      <c r="C27" s="7">
        <v>1173.1199999999999</v>
      </c>
      <c r="D27" s="39">
        <f t="shared" ca="1" si="0"/>
        <v>46165.923026041666</v>
      </c>
    </row>
    <row r="28" spans="1:4" ht="13.8" x14ac:dyDescent="0.25">
      <c r="A28" s="6" t="s">
        <v>22</v>
      </c>
      <c r="B28" s="6" t="s">
        <v>51</v>
      </c>
      <c r="C28" s="7">
        <v>675.54</v>
      </c>
      <c r="D28" s="39">
        <f t="shared" ca="1" si="0"/>
        <v>46165.923026041666</v>
      </c>
    </row>
    <row r="29" spans="1:4" ht="13.8" x14ac:dyDescent="0.25">
      <c r="A29" s="6" t="s">
        <v>25</v>
      </c>
      <c r="B29" s="6" t="s">
        <v>14</v>
      </c>
      <c r="C29" s="7">
        <v>939.09</v>
      </c>
      <c r="D29" s="39">
        <f t="shared" ca="1" si="0"/>
        <v>46165.923026041666</v>
      </c>
    </row>
    <row r="30" spans="1:4" ht="13.8" x14ac:dyDescent="0.25">
      <c r="A30" s="6" t="s">
        <v>52</v>
      </c>
      <c r="B30" s="6" t="s">
        <v>53</v>
      </c>
      <c r="C30" s="7">
        <v>983.34</v>
      </c>
      <c r="D30" s="39">
        <f t="shared" ca="1" si="0"/>
        <v>46165.923026041666</v>
      </c>
    </row>
    <row r="31" spans="1:4" ht="13.8" x14ac:dyDescent="0.25">
      <c r="A31" s="6" t="s">
        <v>52</v>
      </c>
      <c r="B31" s="6" t="s">
        <v>23</v>
      </c>
      <c r="C31" s="7">
        <v>801.21</v>
      </c>
      <c r="D31" s="39">
        <f t="shared" ca="1" si="0"/>
        <v>46165.923026041666</v>
      </c>
    </row>
    <row r="32" spans="1:4" ht="13.8" x14ac:dyDescent="0.25">
      <c r="A32" s="6" t="s">
        <v>54</v>
      </c>
      <c r="B32" s="6" t="s">
        <v>55</v>
      </c>
      <c r="C32" s="7">
        <v>1450.71</v>
      </c>
      <c r="D32" s="39">
        <f t="shared" ca="1" si="0"/>
        <v>46165.923026041666</v>
      </c>
    </row>
    <row r="33" spans="1:4" ht="13.8" x14ac:dyDescent="0.25">
      <c r="A33" s="6" t="s">
        <v>49</v>
      </c>
      <c r="B33" s="6" t="s">
        <v>56</v>
      </c>
      <c r="C33" s="7">
        <v>1023.21</v>
      </c>
      <c r="D33" s="39">
        <f t="shared" ca="1" si="0"/>
        <v>46165.923026041666</v>
      </c>
    </row>
    <row r="34" spans="1:4" ht="13.8" x14ac:dyDescent="0.25">
      <c r="A34" s="6" t="s">
        <v>28</v>
      </c>
      <c r="B34" s="6" t="s">
        <v>47</v>
      </c>
      <c r="C34" s="7">
        <v>853.72</v>
      </c>
      <c r="D34" s="39">
        <f t="shared" ca="1" si="0"/>
        <v>46165.923026041666</v>
      </c>
    </row>
    <row r="35" spans="1:4" ht="13.8" x14ac:dyDescent="0.25">
      <c r="A35" s="6" t="s">
        <v>57</v>
      </c>
      <c r="B35" s="6" t="s">
        <v>43</v>
      </c>
      <c r="C35" s="7">
        <v>967.89</v>
      </c>
      <c r="D35" s="39">
        <f t="shared" ca="1" si="0"/>
        <v>46165.923026041666</v>
      </c>
    </row>
    <row r="36" spans="1:4" ht="13.8" x14ac:dyDescent="0.25">
      <c r="A36" s="6" t="s">
        <v>58</v>
      </c>
      <c r="B36" s="6" t="s">
        <v>53</v>
      </c>
      <c r="C36" s="7">
        <v>1200.9000000000001</v>
      </c>
      <c r="D36" s="39">
        <f t="shared" ca="1" si="0"/>
        <v>46165.923026041666</v>
      </c>
    </row>
    <row r="37" spans="1:4" ht="13.8" x14ac:dyDescent="0.25">
      <c r="A37" s="6" t="s">
        <v>13</v>
      </c>
      <c r="B37" s="6" t="s">
        <v>26</v>
      </c>
      <c r="C37" s="7">
        <v>472.38</v>
      </c>
      <c r="D37" s="39">
        <f t="shared" ca="1" si="0"/>
        <v>46165.923026041666</v>
      </c>
    </row>
    <row r="38" spans="1:4" ht="13.8" x14ac:dyDescent="0.25">
      <c r="A38" s="6" t="s">
        <v>9</v>
      </c>
      <c r="B38" s="6" t="s">
        <v>55</v>
      </c>
      <c r="C38" s="7">
        <v>840.92</v>
      </c>
      <c r="D38" s="39">
        <f t="shared" ca="1" si="0"/>
        <v>46165.923026041666</v>
      </c>
    </row>
    <row r="39" spans="1:4" ht="13.8" x14ac:dyDescent="0.25">
      <c r="A39" s="6" t="s">
        <v>52</v>
      </c>
      <c r="B39" s="6" t="s">
        <v>48</v>
      </c>
      <c r="C39" s="7">
        <v>1410.06</v>
      </c>
      <c r="D39" s="39">
        <f t="shared" ca="1" si="0"/>
        <v>46165.923026041666</v>
      </c>
    </row>
    <row r="40" spans="1:4" ht="13.8" x14ac:dyDescent="0.25">
      <c r="A40" s="6" t="s">
        <v>44</v>
      </c>
      <c r="B40" s="6" t="s">
        <v>59</v>
      </c>
      <c r="C40" s="7">
        <v>773.09</v>
      </c>
      <c r="D40" s="39">
        <f t="shared" ca="1" si="0"/>
        <v>46165.923026041666</v>
      </c>
    </row>
    <row r="41" spans="1:4" ht="13.8" x14ac:dyDescent="0.25">
      <c r="A41" s="6" t="s">
        <v>60</v>
      </c>
      <c r="B41" s="6" t="s">
        <v>61</v>
      </c>
      <c r="C41" s="7">
        <v>580.42999999999995</v>
      </c>
      <c r="D41" s="39">
        <f t="shared" ca="1" si="0"/>
        <v>46165.923026041666</v>
      </c>
    </row>
    <row r="42" spans="1:4" ht="13.8" x14ac:dyDescent="0.25">
      <c r="A42" s="6" t="s">
        <v>19</v>
      </c>
      <c r="B42" s="6" t="s">
        <v>42</v>
      </c>
      <c r="C42" s="7">
        <v>1151.21</v>
      </c>
      <c r="D42" s="39">
        <f t="shared" ca="1" si="0"/>
        <v>46165.923026041666</v>
      </c>
    </row>
    <row r="43" spans="1:4" ht="13.8" x14ac:dyDescent="0.25">
      <c r="A43" s="6" t="s">
        <v>52</v>
      </c>
      <c r="B43" s="6" t="s">
        <v>23</v>
      </c>
      <c r="C43" s="7">
        <v>1025.98</v>
      </c>
      <c r="D43" s="39">
        <f t="shared" ca="1" si="0"/>
        <v>46165.923026041666</v>
      </c>
    </row>
    <row r="44" spans="1:4" ht="13.8" x14ac:dyDescent="0.25">
      <c r="A44" s="6" t="s">
        <v>40</v>
      </c>
      <c r="B44" s="6" t="s">
        <v>56</v>
      </c>
      <c r="C44" s="7">
        <v>556.41999999999996</v>
      </c>
      <c r="D44" s="39">
        <f t="shared" ca="1" si="0"/>
        <v>46165.923026041666</v>
      </c>
    </row>
    <row r="45" spans="1:4" ht="13.8" x14ac:dyDescent="0.25">
      <c r="A45" s="6" t="s">
        <v>57</v>
      </c>
      <c r="B45" s="6" t="s">
        <v>23</v>
      </c>
      <c r="C45" s="7">
        <v>840.85</v>
      </c>
      <c r="D45" s="39">
        <f t="shared" ca="1" si="0"/>
        <v>46165.923026041666</v>
      </c>
    </row>
    <row r="46" spans="1:4" ht="13.8" x14ac:dyDescent="0.25">
      <c r="A46" s="6" t="s">
        <v>30</v>
      </c>
      <c r="B46" s="6" t="s">
        <v>61</v>
      </c>
      <c r="C46" s="7">
        <v>1227.25</v>
      </c>
      <c r="D46" s="39">
        <f t="shared" ca="1" si="0"/>
        <v>46165.923026041666</v>
      </c>
    </row>
    <row r="47" spans="1:4" ht="13.8" x14ac:dyDescent="0.25">
      <c r="A47" s="6" t="s">
        <v>16</v>
      </c>
      <c r="B47" s="6" t="s">
        <v>62</v>
      </c>
      <c r="C47" s="7">
        <v>856.7</v>
      </c>
      <c r="D47" s="39">
        <f t="shared" ca="1" si="0"/>
        <v>46165.923026041666</v>
      </c>
    </row>
    <row r="48" spans="1:4" ht="13.8" x14ac:dyDescent="0.25">
      <c r="A48" s="6" t="s">
        <v>54</v>
      </c>
      <c r="B48" s="6" t="s">
        <v>56</v>
      </c>
      <c r="C48" s="7">
        <v>1225.42</v>
      </c>
      <c r="D48" s="39">
        <f t="shared" ca="1" si="0"/>
        <v>46165.923026041666</v>
      </c>
    </row>
    <row r="49" spans="1:4" ht="13.8" x14ac:dyDescent="0.25">
      <c r="A49" s="6" t="s">
        <v>63</v>
      </c>
      <c r="B49" s="6" t="s">
        <v>31</v>
      </c>
      <c r="C49" s="7">
        <v>1001.57</v>
      </c>
      <c r="D49" s="39">
        <f t="shared" ca="1" si="0"/>
        <v>46165.923026041666</v>
      </c>
    </row>
    <row r="50" spans="1:4" ht="13.8" x14ac:dyDescent="0.25">
      <c r="A50" s="6" t="s">
        <v>57</v>
      </c>
      <c r="B50" s="6" t="s">
        <v>26</v>
      </c>
      <c r="C50" s="7">
        <v>1186.8499999999999</v>
      </c>
      <c r="D50" s="39">
        <f t="shared" ca="1" si="0"/>
        <v>46165.923026041666</v>
      </c>
    </row>
    <row r="51" spans="1:4" ht="13.8" x14ac:dyDescent="0.25">
      <c r="A51" s="6" t="s">
        <v>44</v>
      </c>
      <c r="B51" s="6" t="s">
        <v>51</v>
      </c>
      <c r="C51" s="7">
        <v>775.45</v>
      </c>
      <c r="D51" s="39">
        <f t="shared" ca="1" si="0"/>
        <v>46165.923026041666</v>
      </c>
    </row>
    <row r="52" spans="1:4" ht="13.8" x14ac:dyDescent="0.25">
      <c r="A52" s="6" t="s">
        <v>25</v>
      </c>
      <c r="B52" s="6" t="s">
        <v>33</v>
      </c>
      <c r="C52" s="7">
        <v>1021.47</v>
      </c>
      <c r="D52" s="39">
        <f t="shared" ca="1" si="0"/>
        <v>46165.923026041666</v>
      </c>
    </row>
    <row r="53" spans="1:4" ht="13.8" x14ac:dyDescent="0.25">
      <c r="A53" s="6" t="s">
        <v>58</v>
      </c>
      <c r="B53" s="6" t="s">
        <v>23</v>
      </c>
      <c r="C53" s="7">
        <v>1226.6199999999999</v>
      </c>
      <c r="D53" s="39">
        <f t="shared" ca="1" si="0"/>
        <v>46165.923026041666</v>
      </c>
    </row>
    <row r="54" spans="1:4" ht="13.8" x14ac:dyDescent="0.25">
      <c r="A54" s="6" t="s">
        <v>22</v>
      </c>
      <c r="B54" s="6" t="s">
        <v>64</v>
      </c>
      <c r="C54" s="7">
        <v>1086.93</v>
      </c>
      <c r="D54" s="39">
        <f t="shared" ca="1" si="0"/>
        <v>46165.923026041666</v>
      </c>
    </row>
    <row r="55" spans="1:4" ht="13.8" x14ac:dyDescent="0.25">
      <c r="A55" s="6" t="s">
        <v>65</v>
      </c>
      <c r="B55" s="6" t="s">
        <v>48</v>
      </c>
      <c r="C55" s="7">
        <v>942.9</v>
      </c>
      <c r="D55" s="39">
        <f t="shared" ca="1" si="0"/>
        <v>46165.923026041666</v>
      </c>
    </row>
    <row r="56" spans="1:4" ht="13.8" x14ac:dyDescent="0.25">
      <c r="A56" s="6" t="s">
        <v>32</v>
      </c>
      <c r="B56" s="6" t="s">
        <v>38</v>
      </c>
      <c r="C56" s="7">
        <v>818.8</v>
      </c>
      <c r="D56" s="39">
        <f t="shared" ca="1" si="0"/>
        <v>46165.923026041666</v>
      </c>
    </row>
    <row r="57" spans="1:4" ht="13.8" x14ac:dyDescent="0.25">
      <c r="A57" s="6" t="s">
        <v>19</v>
      </c>
      <c r="B57" s="6" t="s">
        <v>14</v>
      </c>
      <c r="C57" s="7">
        <v>919.04</v>
      </c>
      <c r="D57" s="39">
        <f t="shared" ca="1" si="0"/>
        <v>46165.923026041666</v>
      </c>
    </row>
    <row r="58" spans="1:4" ht="13.8" x14ac:dyDescent="0.25">
      <c r="A58" s="6" t="s">
        <v>22</v>
      </c>
      <c r="B58" s="6" t="s">
        <v>66</v>
      </c>
      <c r="C58" s="7">
        <v>973.26</v>
      </c>
      <c r="D58" s="39">
        <f t="shared" ca="1" si="0"/>
        <v>46165.923026041666</v>
      </c>
    </row>
    <row r="59" spans="1:4" ht="13.8" x14ac:dyDescent="0.25">
      <c r="A59" s="6" t="s">
        <v>41</v>
      </c>
      <c r="B59" s="6" t="s">
        <v>64</v>
      </c>
      <c r="C59" s="7">
        <v>741.61</v>
      </c>
      <c r="D59" s="39">
        <f t="shared" ca="1" si="0"/>
        <v>46165.923026041666</v>
      </c>
    </row>
    <row r="60" spans="1:4" ht="13.8" x14ac:dyDescent="0.25">
      <c r="A60" s="6" t="s">
        <v>67</v>
      </c>
      <c r="B60" s="6" t="s">
        <v>38</v>
      </c>
      <c r="C60" s="7">
        <v>1248.82</v>
      </c>
      <c r="D60" s="39">
        <f t="shared" ca="1" si="0"/>
        <v>46165.923026041666</v>
      </c>
    </row>
    <row r="61" spans="1:4" ht="13.8" x14ac:dyDescent="0.25">
      <c r="A61" s="6" t="s">
        <v>13</v>
      </c>
      <c r="B61" s="6" t="s">
        <v>59</v>
      </c>
      <c r="C61" s="7">
        <v>1360.36</v>
      </c>
      <c r="D61" s="39">
        <f t="shared" ca="1" si="0"/>
        <v>46165.923026041666</v>
      </c>
    </row>
    <row r="62" spans="1:4" ht="13.8" x14ac:dyDescent="0.25">
      <c r="A62" s="6" t="s">
        <v>57</v>
      </c>
      <c r="B62" s="6" t="s">
        <v>31</v>
      </c>
      <c r="C62" s="7">
        <v>1383.3</v>
      </c>
      <c r="D62" s="39">
        <f t="shared" ca="1" si="0"/>
        <v>46165.923026041666</v>
      </c>
    </row>
    <row r="63" spans="1:4" ht="13.8" x14ac:dyDescent="0.25">
      <c r="A63" s="6" t="s">
        <v>35</v>
      </c>
      <c r="B63" s="6" t="s">
        <v>55</v>
      </c>
      <c r="C63" s="7">
        <v>488.99</v>
      </c>
      <c r="D63" s="39">
        <f t="shared" ca="1" si="0"/>
        <v>46165.923026041666</v>
      </c>
    </row>
    <row r="64" spans="1:4" ht="13.8" x14ac:dyDescent="0.25">
      <c r="A64" s="6" t="s">
        <v>30</v>
      </c>
      <c r="B64" s="6" t="s">
        <v>31</v>
      </c>
      <c r="C64" s="7">
        <v>933.71</v>
      </c>
      <c r="D64" s="39">
        <f t="shared" ca="1" si="0"/>
        <v>46165.923026041666</v>
      </c>
    </row>
    <row r="65" spans="1:4" ht="13.8" x14ac:dyDescent="0.25">
      <c r="A65" s="6" t="s">
        <v>67</v>
      </c>
      <c r="B65" s="6" t="s">
        <v>10</v>
      </c>
      <c r="C65" s="7">
        <v>1005.53</v>
      </c>
      <c r="D65" s="39">
        <f t="shared" ca="1" si="0"/>
        <v>46165.923026041666</v>
      </c>
    </row>
    <row r="66" spans="1:4" ht="13.8" x14ac:dyDescent="0.25">
      <c r="A66" s="6" t="s">
        <v>41</v>
      </c>
      <c r="B66" s="6" t="s">
        <v>61</v>
      </c>
      <c r="C66" s="7">
        <v>1100.0999999999999</v>
      </c>
      <c r="D66" s="39">
        <f t="shared" ca="1" si="0"/>
        <v>46165.923026041666</v>
      </c>
    </row>
    <row r="67" spans="1:4" ht="13.8" x14ac:dyDescent="0.25">
      <c r="A67" s="6" t="s">
        <v>67</v>
      </c>
      <c r="B67" s="6" t="s">
        <v>23</v>
      </c>
      <c r="C67" s="7">
        <v>1034.7</v>
      </c>
      <c r="D67" s="39">
        <f t="shared" ref="D67:D130" ca="1" si="1">NOW()</f>
        <v>46165.923026041666</v>
      </c>
    </row>
    <row r="68" spans="1:4" ht="13.8" x14ac:dyDescent="0.25">
      <c r="A68" s="6" t="s">
        <v>65</v>
      </c>
      <c r="B68" s="6" t="s">
        <v>31</v>
      </c>
      <c r="C68" s="7">
        <v>876.44</v>
      </c>
      <c r="D68" s="39">
        <f t="shared" ca="1" si="1"/>
        <v>46165.923026041666</v>
      </c>
    </row>
    <row r="69" spans="1:4" ht="13.8" x14ac:dyDescent="0.25">
      <c r="A69" s="6" t="s">
        <v>68</v>
      </c>
      <c r="B69" s="6" t="s">
        <v>55</v>
      </c>
      <c r="C69" s="7">
        <v>1371.34</v>
      </c>
      <c r="D69" s="39">
        <f t="shared" ca="1" si="1"/>
        <v>46165.923026041666</v>
      </c>
    </row>
    <row r="70" spans="1:4" ht="13.8" x14ac:dyDescent="0.25">
      <c r="A70" s="6" t="s">
        <v>57</v>
      </c>
      <c r="B70" s="6" t="s">
        <v>47</v>
      </c>
      <c r="C70" s="7">
        <v>1020.26</v>
      </c>
      <c r="D70" s="39">
        <f t="shared" ca="1" si="1"/>
        <v>46165.923026041666</v>
      </c>
    </row>
    <row r="71" spans="1:4" ht="13.8" x14ac:dyDescent="0.25">
      <c r="A71" s="6" t="s">
        <v>44</v>
      </c>
      <c r="B71" s="6" t="s">
        <v>10</v>
      </c>
      <c r="C71" s="7">
        <v>804.81</v>
      </c>
      <c r="D71" s="39">
        <f t="shared" ca="1" si="1"/>
        <v>46165.923026041666</v>
      </c>
    </row>
    <row r="72" spans="1:4" ht="13.8" x14ac:dyDescent="0.25">
      <c r="A72" s="6" t="s">
        <v>22</v>
      </c>
      <c r="B72" s="6" t="s">
        <v>55</v>
      </c>
      <c r="C72" s="7">
        <v>608.66</v>
      </c>
      <c r="D72" s="39">
        <f t="shared" ca="1" si="1"/>
        <v>46165.923026041666</v>
      </c>
    </row>
    <row r="73" spans="1:4" ht="13.8" x14ac:dyDescent="0.25">
      <c r="A73" s="6" t="s">
        <v>68</v>
      </c>
      <c r="B73" s="6" t="s">
        <v>69</v>
      </c>
      <c r="C73" s="7">
        <v>981.2</v>
      </c>
      <c r="D73" s="39">
        <f t="shared" ca="1" si="1"/>
        <v>46165.923026041666</v>
      </c>
    </row>
    <row r="74" spans="1:4" ht="13.8" x14ac:dyDescent="0.25">
      <c r="A74" s="6" t="s">
        <v>70</v>
      </c>
      <c r="B74" s="6" t="s">
        <v>55</v>
      </c>
      <c r="C74" s="7">
        <v>539.77</v>
      </c>
      <c r="D74" s="39">
        <f t="shared" ca="1" si="1"/>
        <v>46165.923026041666</v>
      </c>
    </row>
    <row r="75" spans="1:4" ht="13.8" x14ac:dyDescent="0.25">
      <c r="A75" s="6" t="s">
        <v>13</v>
      </c>
      <c r="B75" s="6" t="s">
        <v>71</v>
      </c>
      <c r="C75" s="7">
        <v>804.45</v>
      </c>
      <c r="D75" s="39">
        <f t="shared" ca="1" si="1"/>
        <v>46165.923026041666</v>
      </c>
    </row>
    <row r="76" spans="1:4" ht="13.8" x14ac:dyDescent="0.25">
      <c r="A76" s="6" t="s">
        <v>70</v>
      </c>
      <c r="B76" s="6" t="s">
        <v>38</v>
      </c>
      <c r="C76" s="7">
        <v>1526.6</v>
      </c>
      <c r="D76" s="39">
        <f t="shared" ca="1" si="1"/>
        <v>46165.923026041666</v>
      </c>
    </row>
    <row r="77" spans="1:4" ht="13.8" x14ac:dyDescent="0.25">
      <c r="A77" s="6" t="s">
        <v>13</v>
      </c>
      <c r="B77" s="6" t="s">
        <v>29</v>
      </c>
      <c r="C77" s="7">
        <v>1215.26</v>
      </c>
      <c r="D77" s="39">
        <f t="shared" ca="1" si="1"/>
        <v>46165.923026041666</v>
      </c>
    </row>
    <row r="78" spans="1:4" ht="13.8" x14ac:dyDescent="0.25">
      <c r="A78" s="6" t="s">
        <v>19</v>
      </c>
      <c r="B78" s="6" t="s">
        <v>53</v>
      </c>
      <c r="C78" s="7">
        <v>1261.3399999999999</v>
      </c>
      <c r="D78" s="39">
        <f t="shared" ca="1" si="1"/>
        <v>46165.923026041666</v>
      </c>
    </row>
    <row r="79" spans="1:4" ht="13.8" x14ac:dyDescent="0.25">
      <c r="A79" s="6" t="s">
        <v>72</v>
      </c>
      <c r="B79" s="6" t="s">
        <v>45</v>
      </c>
      <c r="C79" s="7">
        <v>518.07000000000005</v>
      </c>
      <c r="D79" s="39">
        <f t="shared" ca="1" si="1"/>
        <v>46165.923026041666</v>
      </c>
    </row>
    <row r="80" spans="1:4" ht="13.8" x14ac:dyDescent="0.25">
      <c r="A80" s="6" t="s">
        <v>30</v>
      </c>
      <c r="B80" s="6" t="s">
        <v>29</v>
      </c>
      <c r="C80" s="7">
        <v>1111.3399999999999</v>
      </c>
      <c r="D80" s="39">
        <f t="shared" ca="1" si="1"/>
        <v>46165.923026041666</v>
      </c>
    </row>
    <row r="81" spans="1:4" ht="13.8" x14ac:dyDescent="0.25">
      <c r="A81" s="6" t="s">
        <v>22</v>
      </c>
      <c r="B81" s="6" t="s">
        <v>31</v>
      </c>
      <c r="C81" s="7">
        <v>1291.47</v>
      </c>
      <c r="D81" s="39">
        <f t="shared" ca="1" si="1"/>
        <v>46165.923026041666</v>
      </c>
    </row>
    <row r="82" spans="1:4" ht="13.8" x14ac:dyDescent="0.25">
      <c r="A82" s="6" t="s">
        <v>25</v>
      </c>
      <c r="B82" s="6" t="s">
        <v>55</v>
      </c>
      <c r="C82" s="7">
        <v>679.71</v>
      </c>
      <c r="D82" s="39">
        <f t="shared" ca="1" si="1"/>
        <v>46165.923026041666</v>
      </c>
    </row>
    <row r="83" spans="1:4" ht="13.8" x14ac:dyDescent="0.25">
      <c r="A83" s="6" t="s">
        <v>68</v>
      </c>
      <c r="B83" s="6" t="s">
        <v>33</v>
      </c>
      <c r="C83" s="7">
        <v>1143.69</v>
      </c>
      <c r="D83" s="39">
        <f t="shared" ca="1" si="1"/>
        <v>46165.923026041666</v>
      </c>
    </row>
    <row r="84" spans="1:4" ht="13.8" x14ac:dyDescent="0.25">
      <c r="A84" s="6" t="s">
        <v>52</v>
      </c>
      <c r="B84" s="6" t="s">
        <v>50</v>
      </c>
      <c r="C84" s="7">
        <v>790.08</v>
      </c>
      <c r="D84" s="39">
        <f t="shared" ca="1" si="1"/>
        <v>46165.923026041666</v>
      </c>
    </row>
    <row r="85" spans="1:4" ht="13.8" x14ac:dyDescent="0.25">
      <c r="A85" s="6" t="s">
        <v>19</v>
      </c>
      <c r="B85" s="6" t="s">
        <v>48</v>
      </c>
      <c r="C85" s="7">
        <v>1070.68</v>
      </c>
      <c r="D85" s="39">
        <f t="shared" ca="1" si="1"/>
        <v>46165.923026041666</v>
      </c>
    </row>
    <row r="86" spans="1:4" ht="13.8" x14ac:dyDescent="0.25">
      <c r="A86" s="6" t="s">
        <v>58</v>
      </c>
      <c r="B86" s="6" t="s">
        <v>36</v>
      </c>
      <c r="C86" s="7">
        <v>1168.8900000000001</v>
      </c>
      <c r="D86" s="39">
        <f t="shared" ca="1" si="1"/>
        <v>46165.923026041666</v>
      </c>
    </row>
    <row r="87" spans="1:4" ht="13.8" x14ac:dyDescent="0.25">
      <c r="A87" s="6" t="s">
        <v>67</v>
      </c>
      <c r="B87" s="6" t="s">
        <v>10</v>
      </c>
      <c r="C87" s="7">
        <v>1335.87</v>
      </c>
      <c r="D87" s="39">
        <f t="shared" ca="1" si="1"/>
        <v>46165.923026041666</v>
      </c>
    </row>
    <row r="88" spans="1:4" ht="13.8" x14ac:dyDescent="0.25">
      <c r="A88" s="6" t="s">
        <v>40</v>
      </c>
      <c r="B88" s="6" t="s">
        <v>55</v>
      </c>
      <c r="C88" s="7">
        <v>873.7</v>
      </c>
      <c r="D88" s="39">
        <f t="shared" ca="1" si="1"/>
        <v>46165.923026041666</v>
      </c>
    </row>
    <row r="89" spans="1:4" ht="13.8" x14ac:dyDescent="0.25">
      <c r="A89" s="6" t="s">
        <v>72</v>
      </c>
      <c r="B89" s="6" t="s">
        <v>64</v>
      </c>
      <c r="C89" s="7">
        <v>1443.98</v>
      </c>
      <c r="D89" s="39">
        <f t="shared" ca="1" si="1"/>
        <v>46165.923026041666</v>
      </c>
    </row>
    <row r="90" spans="1:4" ht="13.8" x14ac:dyDescent="0.25">
      <c r="A90" s="6" t="s">
        <v>40</v>
      </c>
      <c r="B90" s="6" t="s">
        <v>23</v>
      </c>
      <c r="C90" s="7">
        <v>1154.33</v>
      </c>
      <c r="D90" s="39">
        <f t="shared" ca="1" si="1"/>
        <v>46165.923026041666</v>
      </c>
    </row>
    <row r="91" spans="1:4" ht="13.8" x14ac:dyDescent="0.25">
      <c r="A91" s="6" t="s">
        <v>49</v>
      </c>
      <c r="B91" s="6" t="s">
        <v>50</v>
      </c>
      <c r="C91" s="7">
        <v>1264.49</v>
      </c>
      <c r="D91" s="39">
        <f t="shared" ca="1" si="1"/>
        <v>46165.923026041666</v>
      </c>
    </row>
    <row r="92" spans="1:4" ht="13.8" x14ac:dyDescent="0.25">
      <c r="A92" s="6" t="s">
        <v>25</v>
      </c>
      <c r="B92" s="6" t="s">
        <v>66</v>
      </c>
      <c r="C92" s="7">
        <v>1101.55</v>
      </c>
      <c r="D92" s="39">
        <f t="shared" ca="1" si="1"/>
        <v>46165.923026041666</v>
      </c>
    </row>
    <row r="93" spans="1:4" ht="13.8" x14ac:dyDescent="0.25">
      <c r="A93" s="6" t="s">
        <v>73</v>
      </c>
      <c r="B93" s="6" t="s">
        <v>14</v>
      </c>
      <c r="C93" s="7">
        <v>727.73</v>
      </c>
      <c r="D93" s="39">
        <f t="shared" ca="1" si="1"/>
        <v>46165.923026041666</v>
      </c>
    </row>
    <row r="94" spans="1:4" ht="13.8" x14ac:dyDescent="0.25">
      <c r="A94" s="6" t="s">
        <v>74</v>
      </c>
      <c r="B94" s="6" t="s">
        <v>38</v>
      </c>
      <c r="C94" s="7">
        <v>875.41</v>
      </c>
      <c r="D94" s="39">
        <f t="shared" ca="1" si="1"/>
        <v>46165.923026041666</v>
      </c>
    </row>
    <row r="95" spans="1:4" ht="13.8" x14ac:dyDescent="0.25">
      <c r="A95" s="6" t="s">
        <v>67</v>
      </c>
      <c r="B95" s="6" t="s">
        <v>23</v>
      </c>
      <c r="C95" s="7">
        <v>1158.94</v>
      </c>
      <c r="D95" s="39">
        <f t="shared" ca="1" si="1"/>
        <v>46165.923026041666</v>
      </c>
    </row>
    <row r="96" spans="1:4" ht="13.8" x14ac:dyDescent="0.25">
      <c r="A96" s="6" t="s">
        <v>75</v>
      </c>
      <c r="B96" s="6" t="s">
        <v>47</v>
      </c>
      <c r="C96" s="7">
        <v>966.3</v>
      </c>
      <c r="D96" s="39">
        <f t="shared" ca="1" si="1"/>
        <v>46165.923026041666</v>
      </c>
    </row>
    <row r="97" spans="1:4" ht="13.8" x14ac:dyDescent="0.25">
      <c r="A97" s="6" t="s">
        <v>68</v>
      </c>
      <c r="B97" s="6" t="s">
        <v>17</v>
      </c>
      <c r="C97" s="7">
        <v>917.48</v>
      </c>
      <c r="D97" s="39">
        <f t="shared" ca="1" si="1"/>
        <v>46165.923026041666</v>
      </c>
    </row>
    <row r="98" spans="1:4" ht="13.8" x14ac:dyDescent="0.25">
      <c r="A98" s="6" t="s">
        <v>41</v>
      </c>
      <c r="B98" s="6" t="s">
        <v>61</v>
      </c>
      <c r="C98" s="7">
        <v>1172.97</v>
      </c>
      <c r="D98" s="39">
        <f t="shared" ca="1" si="1"/>
        <v>46165.923026041666</v>
      </c>
    </row>
    <row r="99" spans="1:4" ht="13.8" x14ac:dyDescent="0.25">
      <c r="A99" s="6" t="s">
        <v>57</v>
      </c>
      <c r="B99" s="6" t="s">
        <v>23</v>
      </c>
      <c r="C99" s="7">
        <v>1205.82</v>
      </c>
      <c r="D99" s="39">
        <f t="shared" ca="1" si="1"/>
        <v>46165.923026041666</v>
      </c>
    </row>
    <row r="100" spans="1:4" ht="13.8" x14ac:dyDescent="0.25">
      <c r="A100" s="6" t="s">
        <v>16</v>
      </c>
      <c r="B100" s="6" t="s">
        <v>64</v>
      </c>
      <c r="C100" s="7">
        <v>826.93</v>
      </c>
      <c r="D100" s="39">
        <f t="shared" ca="1" si="1"/>
        <v>46165.923026041666</v>
      </c>
    </row>
    <row r="101" spans="1:4" ht="13.8" x14ac:dyDescent="0.25">
      <c r="A101" s="6" t="s">
        <v>67</v>
      </c>
      <c r="B101" s="6" t="s">
        <v>23</v>
      </c>
      <c r="C101" s="7">
        <v>902.19</v>
      </c>
      <c r="D101" s="39">
        <f t="shared" ca="1" si="1"/>
        <v>46165.923026041666</v>
      </c>
    </row>
    <row r="102" spans="1:4" ht="13.8" x14ac:dyDescent="0.25">
      <c r="A102" s="6" t="s">
        <v>74</v>
      </c>
      <c r="B102" s="6" t="s">
        <v>38</v>
      </c>
      <c r="C102" s="7">
        <v>585.97</v>
      </c>
      <c r="D102" s="39">
        <f t="shared" ca="1" si="1"/>
        <v>46165.923026041666</v>
      </c>
    </row>
    <row r="103" spans="1:4" ht="13.8" x14ac:dyDescent="0.25">
      <c r="A103" s="6" t="s">
        <v>60</v>
      </c>
      <c r="B103" s="6" t="s">
        <v>26</v>
      </c>
      <c r="C103" s="7">
        <v>990.19</v>
      </c>
      <c r="D103" s="39">
        <f t="shared" ca="1" si="1"/>
        <v>46165.923026041666</v>
      </c>
    </row>
    <row r="104" spans="1:4" ht="13.8" x14ac:dyDescent="0.25">
      <c r="A104" s="6" t="s">
        <v>44</v>
      </c>
      <c r="B104" s="6" t="s">
        <v>56</v>
      </c>
      <c r="C104" s="7">
        <v>1014.09</v>
      </c>
      <c r="D104" s="39">
        <f t="shared" ca="1" si="1"/>
        <v>46165.923026041666</v>
      </c>
    </row>
    <row r="105" spans="1:4" ht="13.8" x14ac:dyDescent="0.25">
      <c r="A105" s="6" t="s">
        <v>13</v>
      </c>
      <c r="B105" s="6" t="s">
        <v>48</v>
      </c>
      <c r="C105" s="7">
        <v>925.29</v>
      </c>
      <c r="D105" s="39">
        <f t="shared" ca="1" si="1"/>
        <v>46165.923026041666</v>
      </c>
    </row>
    <row r="106" spans="1:4" ht="13.8" x14ac:dyDescent="0.25">
      <c r="A106" s="6" t="s">
        <v>54</v>
      </c>
      <c r="B106" s="6" t="s">
        <v>47</v>
      </c>
      <c r="C106" s="7">
        <v>1286.54</v>
      </c>
      <c r="D106" s="39">
        <f t="shared" ca="1" si="1"/>
        <v>46165.923026041666</v>
      </c>
    </row>
    <row r="107" spans="1:4" ht="13.8" x14ac:dyDescent="0.25">
      <c r="A107" s="6" t="s">
        <v>37</v>
      </c>
      <c r="B107" s="6" t="s">
        <v>64</v>
      </c>
      <c r="C107" s="7">
        <v>961.62</v>
      </c>
      <c r="D107" s="39">
        <f t="shared" ca="1" si="1"/>
        <v>46165.923026041666</v>
      </c>
    </row>
    <row r="108" spans="1:4" ht="13.8" x14ac:dyDescent="0.25">
      <c r="A108" s="6" t="s">
        <v>44</v>
      </c>
      <c r="B108" s="6" t="s">
        <v>23</v>
      </c>
      <c r="C108" s="7">
        <v>1081.1400000000001</v>
      </c>
      <c r="D108" s="39">
        <f t="shared" ca="1" si="1"/>
        <v>46165.923026041666</v>
      </c>
    </row>
    <row r="109" spans="1:4" ht="13.8" x14ac:dyDescent="0.25">
      <c r="A109" s="6" t="s">
        <v>58</v>
      </c>
      <c r="B109" s="6" t="s">
        <v>23</v>
      </c>
      <c r="C109" s="7">
        <v>1923.66</v>
      </c>
      <c r="D109" s="39">
        <f t="shared" ca="1" si="1"/>
        <v>46165.923026041666</v>
      </c>
    </row>
    <row r="110" spans="1:4" ht="13.8" x14ac:dyDescent="0.25">
      <c r="A110" s="6" t="s">
        <v>54</v>
      </c>
      <c r="B110" s="6" t="s">
        <v>66</v>
      </c>
      <c r="C110" s="7">
        <v>728.71</v>
      </c>
      <c r="D110" s="39">
        <f t="shared" ca="1" si="1"/>
        <v>46165.923026041666</v>
      </c>
    </row>
    <row r="111" spans="1:4" ht="13.8" x14ac:dyDescent="0.25">
      <c r="A111" s="6" t="s">
        <v>9</v>
      </c>
      <c r="B111" s="6" t="s">
        <v>33</v>
      </c>
      <c r="C111" s="7">
        <v>1301.8900000000001</v>
      </c>
      <c r="D111" s="39">
        <f t="shared" ca="1" si="1"/>
        <v>46165.923026041666</v>
      </c>
    </row>
    <row r="112" spans="1:4" ht="13.8" x14ac:dyDescent="0.25">
      <c r="A112" s="6" t="s">
        <v>70</v>
      </c>
      <c r="B112" s="6" t="s">
        <v>66</v>
      </c>
      <c r="C112" s="7">
        <v>980.18</v>
      </c>
      <c r="D112" s="39">
        <f t="shared" ca="1" si="1"/>
        <v>46165.923026041666</v>
      </c>
    </row>
    <row r="113" spans="1:4" ht="13.8" x14ac:dyDescent="0.25">
      <c r="A113" s="6" t="s">
        <v>74</v>
      </c>
      <c r="B113" s="6" t="s">
        <v>23</v>
      </c>
      <c r="C113" s="7">
        <v>697.57</v>
      </c>
      <c r="D113" s="39">
        <f t="shared" ca="1" si="1"/>
        <v>46165.923026041666</v>
      </c>
    </row>
    <row r="114" spans="1:4" ht="13.8" x14ac:dyDescent="0.25">
      <c r="A114" s="6" t="s">
        <v>46</v>
      </c>
      <c r="B114" s="6" t="s">
        <v>71</v>
      </c>
      <c r="C114" s="7">
        <v>1193.6099999999999</v>
      </c>
      <c r="D114" s="39">
        <f t="shared" ca="1" si="1"/>
        <v>46165.923026041666</v>
      </c>
    </row>
    <row r="115" spans="1:4" ht="13.8" x14ac:dyDescent="0.25">
      <c r="A115" s="6" t="s">
        <v>32</v>
      </c>
      <c r="B115" s="6" t="s">
        <v>38</v>
      </c>
      <c r="C115" s="7">
        <v>771.02</v>
      </c>
      <c r="D115" s="39">
        <f t="shared" ca="1" si="1"/>
        <v>46165.923026041666</v>
      </c>
    </row>
    <row r="116" spans="1:4" ht="13.8" x14ac:dyDescent="0.25">
      <c r="A116" s="6" t="s">
        <v>67</v>
      </c>
      <c r="B116" s="6" t="s">
        <v>69</v>
      </c>
      <c r="C116" s="7">
        <v>661.09</v>
      </c>
      <c r="D116" s="39">
        <f t="shared" ca="1" si="1"/>
        <v>46165.923026041666</v>
      </c>
    </row>
    <row r="117" spans="1:4" ht="13.8" x14ac:dyDescent="0.25">
      <c r="A117" s="6" t="s">
        <v>13</v>
      </c>
      <c r="B117" s="6" t="s">
        <v>55</v>
      </c>
      <c r="C117" s="7">
        <v>688.83</v>
      </c>
      <c r="D117" s="39">
        <f t="shared" ca="1" si="1"/>
        <v>46165.923026041666</v>
      </c>
    </row>
    <row r="118" spans="1:4" ht="13.8" x14ac:dyDescent="0.25">
      <c r="A118" s="6" t="s">
        <v>73</v>
      </c>
      <c r="B118" s="6" t="s">
        <v>29</v>
      </c>
      <c r="C118" s="7">
        <v>1249.0999999999999</v>
      </c>
      <c r="D118" s="39">
        <f t="shared" ca="1" si="1"/>
        <v>46165.923026041666</v>
      </c>
    </row>
    <row r="119" spans="1:4" ht="13.8" x14ac:dyDescent="0.25">
      <c r="A119" s="6" t="s">
        <v>44</v>
      </c>
      <c r="B119" s="6" t="s">
        <v>23</v>
      </c>
      <c r="C119" s="7">
        <v>1014.22</v>
      </c>
      <c r="D119" s="39">
        <f t="shared" ca="1" si="1"/>
        <v>46165.923026041666</v>
      </c>
    </row>
    <row r="120" spans="1:4" ht="13.8" x14ac:dyDescent="0.25">
      <c r="A120" s="6" t="s">
        <v>54</v>
      </c>
      <c r="B120" s="6" t="s">
        <v>48</v>
      </c>
      <c r="C120" s="7">
        <v>1010.58</v>
      </c>
      <c r="D120" s="39">
        <f t="shared" ca="1" si="1"/>
        <v>46165.923026041666</v>
      </c>
    </row>
    <row r="121" spans="1:4" ht="13.8" x14ac:dyDescent="0.25">
      <c r="A121" s="6" t="s">
        <v>30</v>
      </c>
      <c r="B121" s="6" t="s">
        <v>59</v>
      </c>
      <c r="C121" s="7">
        <v>957.29</v>
      </c>
      <c r="D121" s="39">
        <f t="shared" ca="1" si="1"/>
        <v>46165.923026041666</v>
      </c>
    </row>
    <row r="122" spans="1:4" ht="13.8" x14ac:dyDescent="0.25">
      <c r="A122" s="6" t="s">
        <v>28</v>
      </c>
      <c r="B122" s="6" t="s">
        <v>45</v>
      </c>
      <c r="C122" s="7">
        <v>1077.92</v>
      </c>
      <c r="D122" s="39">
        <f t="shared" ca="1" si="1"/>
        <v>46165.923026041666</v>
      </c>
    </row>
    <row r="123" spans="1:4" ht="13.8" x14ac:dyDescent="0.25">
      <c r="A123" s="6" t="s">
        <v>52</v>
      </c>
      <c r="B123" s="6" t="s">
        <v>50</v>
      </c>
      <c r="C123" s="7">
        <v>1163.01</v>
      </c>
      <c r="D123" s="39">
        <f t="shared" ca="1" si="1"/>
        <v>46165.923026041666</v>
      </c>
    </row>
    <row r="124" spans="1:4" ht="13.8" x14ac:dyDescent="0.25">
      <c r="A124" s="6" t="s">
        <v>54</v>
      </c>
      <c r="B124" s="6" t="s">
        <v>45</v>
      </c>
      <c r="C124" s="7">
        <v>1014.56</v>
      </c>
      <c r="D124" s="39">
        <f t="shared" ca="1" si="1"/>
        <v>46165.923026041666</v>
      </c>
    </row>
    <row r="125" spans="1:4" ht="13.8" x14ac:dyDescent="0.25">
      <c r="A125" s="6" t="s">
        <v>9</v>
      </c>
      <c r="B125" s="6" t="s">
        <v>17</v>
      </c>
      <c r="C125" s="7">
        <v>718.04</v>
      </c>
      <c r="D125" s="39">
        <f t="shared" ca="1" si="1"/>
        <v>46165.923026041666</v>
      </c>
    </row>
    <row r="126" spans="1:4" ht="13.8" x14ac:dyDescent="0.25">
      <c r="A126" s="6" t="s">
        <v>72</v>
      </c>
      <c r="B126" s="6" t="s">
        <v>17</v>
      </c>
      <c r="C126" s="7">
        <v>1277.8499999999999</v>
      </c>
      <c r="D126" s="39">
        <f t="shared" ca="1" si="1"/>
        <v>46165.923026041666</v>
      </c>
    </row>
    <row r="127" spans="1:4" ht="13.8" x14ac:dyDescent="0.25">
      <c r="A127" s="6" t="s">
        <v>70</v>
      </c>
      <c r="B127" s="6" t="s">
        <v>23</v>
      </c>
      <c r="C127" s="7">
        <v>706.73</v>
      </c>
      <c r="D127" s="39">
        <f t="shared" ca="1" si="1"/>
        <v>46165.923026041666</v>
      </c>
    </row>
    <row r="128" spans="1:4" ht="13.8" x14ac:dyDescent="0.25">
      <c r="A128" s="6" t="s">
        <v>65</v>
      </c>
      <c r="B128" s="6" t="s">
        <v>50</v>
      </c>
      <c r="C128" s="7">
        <v>1410.59</v>
      </c>
      <c r="D128" s="39">
        <f t="shared" ca="1" si="1"/>
        <v>46165.923026041666</v>
      </c>
    </row>
    <row r="129" spans="1:4" ht="13.8" x14ac:dyDescent="0.25">
      <c r="A129" s="6" t="s">
        <v>32</v>
      </c>
      <c r="B129" s="6" t="s">
        <v>61</v>
      </c>
      <c r="C129" s="7">
        <v>1350.33</v>
      </c>
      <c r="D129" s="39">
        <f t="shared" ca="1" si="1"/>
        <v>46165.923026041666</v>
      </c>
    </row>
    <row r="130" spans="1:4" ht="13.8" x14ac:dyDescent="0.25">
      <c r="A130" s="6" t="s">
        <v>41</v>
      </c>
      <c r="B130" s="6" t="s">
        <v>45</v>
      </c>
      <c r="C130" s="7">
        <v>919.18</v>
      </c>
      <c r="D130" s="39">
        <f t="shared" ca="1" si="1"/>
        <v>46165.923026041666</v>
      </c>
    </row>
    <row r="131" spans="1:4" ht="13.8" x14ac:dyDescent="0.25">
      <c r="A131" s="6" t="s">
        <v>74</v>
      </c>
      <c r="B131" s="6" t="s">
        <v>23</v>
      </c>
      <c r="C131" s="7">
        <v>258.51</v>
      </c>
      <c r="D131" s="39">
        <f t="shared" ref="D131:D194" ca="1" si="2">NOW()</f>
        <v>46165.923026041666</v>
      </c>
    </row>
    <row r="132" spans="1:4" ht="13.8" x14ac:dyDescent="0.25">
      <c r="A132" s="6" t="s">
        <v>63</v>
      </c>
      <c r="B132" s="6" t="s">
        <v>61</v>
      </c>
      <c r="C132" s="7">
        <v>1213.48</v>
      </c>
      <c r="D132" s="39">
        <f t="shared" ca="1" si="2"/>
        <v>46165.923026041666</v>
      </c>
    </row>
    <row r="133" spans="1:4" ht="13.8" x14ac:dyDescent="0.25">
      <c r="A133" s="6" t="s">
        <v>57</v>
      </c>
      <c r="B133" s="6" t="s">
        <v>38</v>
      </c>
      <c r="C133" s="7">
        <v>1150.28</v>
      </c>
      <c r="D133" s="39">
        <f t="shared" ca="1" si="2"/>
        <v>46165.923026041666</v>
      </c>
    </row>
    <row r="134" spans="1:4" ht="13.8" x14ac:dyDescent="0.25">
      <c r="A134" s="6" t="s">
        <v>37</v>
      </c>
      <c r="B134" s="6" t="s">
        <v>71</v>
      </c>
      <c r="C134" s="7">
        <v>853.86</v>
      </c>
      <c r="D134" s="39">
        <f t="shared" ca="1" si="2"/>
        <v>46165.923026041666</v>
      </c>
    </row>
    <row r="135" spans="1:4" ht="13.8" x14ac:dyDescent="0.25">
      <c r="A135" s="6" t="s">
        <v>75</v>
      </c>
      <c r="B135" s="6" t="s">
        <v>45</v>
      </c>
      <c r="C135" s="7">
        <v>1061.04</v>
      </c>
      <c r="D135" s="39">
        <f t="shared" ca="1" si="2"/>
        <v>46165.923026041666</v>
      </c>
    </row>
    <row r="136" spans="1:4" ht="13.8" x14ac:dyDescent="0.25">
      <c r="A136" s="6" t="s">
        <v>28</v>
      </c>
      <c r="B136" s="6" t="s">
        <v>43</v>
      </c>
      <c r="C136" s="7">
        <v>894.55</v>
      </c>
      <c r="D136" s="39">
        <f t="shared" ca="1" si="2"/>
        <v>46165.923026041666</v>
      </c>
    </row>
    <row r="137" spans="1:4" ht="13.8" x14ac:dyDescent="0.25">
      <c r="A137" s="6" t="s">
        <v>25</v>
      </c>
      <c r="B137" s="6" t="s">
        <v>38</v>
      </c>
      <c r="C137" s="7">
        <v>833.91</v>
      </c>
      <c r="D137" s="39">
        <f t="shared" ca="1" si="2"/>
        <v>46165.923026041666</v>
      </c>
    </row>
    <row r="138" spans="1:4" ht="13.8" x14ac:dyDescent="0.25">
      <c r="A138" s="6" t="s">
        <v>58</v>
      </c>
      <c r="B138" s="6" t="s">
        <v>71</v>
      </c>
      <c r="C138" s="7">
        <v>820.19</v>
      </c>
      <c r="D138" s="39">
        <f t="shared" ca="1" si="2"/>
        <v>46165.923026041666</v>
      </c>
    </row>
    <row r="139" spans="1:4" ht="13.8" x14ac:dyDescent="0.25">
      <c r="A139" s="6" t="s">
        <v>58</v>
      </c>
      <c r="B139" s="6" t="s">
        <v>38</v>
      </c>
      <c r="C139" s="7">
        <v>511.74</v>
      </c>
      <c r="D139" s="39">
        <f t="shared" ca="1" si="2"/>
        <v>46165.923026041666</v>
      </c>
    </row>
    <row r="140" spans="1:4" ht="13.8" x14ac:dyDescent="0.25">
      <c r="A140" s="6" t="s">
        <v>65</v>
      </c>
      <c r="B140" s="6" t="s">
        <v>61</v>
      </c>
      <c r="C140" s="7">
        <v>806.03</v>
      </c>
      <c r="D140" s="39">
        <f t="shared" ca="1" si="2"/>
        <v>46165.923026041666</v>
      </c>
    </row>
    <row r="141" spans="1:4" ht="13.8" x14ac:dyDescent="0.25">
      <c r="A141" s="6" t="s">
        <v>28</v>
      </c>
      <c r="B141" s="6" t="s">
        <v>26</v>
      </c>
      <c r="C141" s="7">
        <v>1432.47</v>
      </c>
      <c r="D141" s="39">
        <f t="shared" ca="1" si="2"/>
        <v>46165.923026041666</v>
      </c>
    </row>
    <row r="142" spans="1:4" ht="13.8" x14ac:dyDescent="0.25">
      <c r="A142" s="6" t="s">
        <v>74</v>
      </c>
      <c r="B142" s="6" t="s">
        <v>29</v>
      </c>
      <c r="C142" s="7">
        <v>1488.58</v>
      </c>
      <c r="D142" s="39">
        <f t="shared" ca="1" si="2"/>
        <v>46165.923026041666</v>
      </c>
    </row>
    <row r="143" spans="1:4" ht="13.8" x14ac:dyDescent="0.25">
      <c r="A143" s="6" t="s">
        <v>30</v>
      </c>
      <c r="B143" s="6" t="s">
        <v>66</v>
      </c>
      <c r="C143" s="7">
        <v>1231.26</v>
      </c>
      <c r="D143" s="39">
        <f t="shared" ca="1" si="2"/>
        <v>46165.923026041666</v>
      </c>
    </row>
    <row r="144" spans="1:4" ht="13.8" x14ac:dyDescent="0.25">
      <c r="A144" s="6" t="s">
        <v>30</v>
      </c>
      <c r="B144" s="6" t="s">
        <v>43</v>
      </c>
      <c r="C144" s="7">
        <v>1161.67</v>
      </c>
      <c r="D144" s="39">
        <f t="shared" ca="1" si="2"/>
        <v>46165.923026041666</v>
      </c>
    </row>
    <row r="145" spans="1:4" ht="13.8" x14ac:dyDescent="0.25">
      <c r="A145" s="6" t="s">
        <v>49</v>
      </c>
      <c r="B145" s="6" t="s">
        <v>45</v>
      </c>
      <c r="C145" s="7">
        <v>388.23</v>
      </c>
      <c r="D145" s="39">
        <f t="shared" ca="1" si="2"/>
        <v>46165.923026041666</v>
      </c>
    </row>
    <row r="146" spans="1:4" ht="13.8" x14ac:dyDescent="0.25">
      <c r="A146" s="6" t="s">
        <v>72</v>
      </c>
      <c r="B146" s="6" t="s">
        <v>31</v>
      </c>
      <c r="C146" s="7">
        <v>1589.42</v>
      </c>
      <c r="D146" s="39">
        <f t="shared" ca="1" si="2"/>
        <v>46165.923026041666</v>
      </c>
    </row>
    <row r="147" spans="1:4" ht="13.8" x14ac:dyDescent="0.25">
      <c r="A147" s="6" t="s">
        <v>28</v>
      </c>
      <c r="B147" s="6" t="s">
        <v>71</v>
      </c>
      <c r="C147" s="7">
        <v>336.66</v>
      </c>
      <c r="D147" s="39">
        <f t="shared" ca="1" si="2"/>
        <v>46165.923026041666</v>
      </c>
    </row>
    <row r="148" spans="1:4" ht="13.8" x14ac:dyDescent="0.25">
      <c r="A148" s="6" t="s">
        <v>49</v>
      </c>
      <c r="B148" s="6" t="s">
        <v>23</v>
      </c>
      <c r="C148" s="7">
        <v>1353.79</v>
      </c>
      <c r="D148" s="39">
        <f t="shared" ca="1" si="2"/>
        <v>46165.923026041666</v>
      </c>
    </row>
    <row r="149" spans="1:4" ht="13.8" x14ac:dyDescent="0.25">
      <c r="A149" s="6" t="s">
        <v>63</v>
      </c>
      <c r="B149" s="6" t="s">
        <v>69</v>
      </c>
      <c r="C149" s="7">
        <v>662.61</v>
      </c>
      <c r="D149" s="39">
        <f t="shared" ca="1" si="2"/>
        <v>46165.923026041666</v>
      </c>
    </row>
    <row r="150" spans="1:4" ht="13.8" x14ac:dyDescent="0.25">
      <c r="A150" s="6" t="s">
        <v>52</v>
      </c>
      <c r="B150" s="6" t="s">
        <v>48</v>
      </c>
      <c r="C150" s="7">
        <v>309.42</v>
      </c>
      <c r="D150" s="39">
        <f t="shared" ca="1" si="2"/>
        <v>46165.923026041666</v>
      </c>
    </row>
    <row r="151" spans="1:4" ht="13.8" x14ac:dyDescent="0.25">
      <c r="A151" s="6" t="s">
        <v>63</v>
      </c>
      <c r="B151" s="6" t="s">
        <v>29</v>
      </c>
      <c r="C151" s="7">
        <v>884.63</v>
      </c>
      <c r="D151" s="39">
        <f t="shared" ca="1" si="2"/>
        <v>46165.923026041666</v>
      </c>
    </row>
    <row r="152" spans="1:4" ht="13.8" x14ac:dyDescent="0.25">
      <c r="A152" s="6" t="s">
        <v>52</v>
      </c>
      <c r="B152" s="6" t="s">
        <v>23</v>
      </c>
      <c r="C152" s="7">
        <v>745.05</v>
      </c>
      <c r="D152" s="39">
        <f t="shared" ca="1" si="2"/>
        <v>46165.923026041666</v>
      </c>
    </row>
    <row r="153" spans="1:4" ht="13.8" x14ac:dyDescent="0.25">
      <c r="A153" s="6" t="s">
        <v>60</v>
      </c>
      <c r="B153" s="6" t="s">
        <v>17</v>
      </c>
      <c r="C153" s="7">
        <v>870.23</v>
      </c>
      <c r="D153" s="39">
        <f t="shared" ca="1" si="2"/>
        <v>46165.923026041666</v>
      </c>
    </row>
    <row r="154" spans="1:4" ht="13.8" x14ac:dyDescent="0.25">
      <c r="A154" s="6" t="s">
        <v>35</v>
      </c>
      <c r="B154" s="6" t="s">
        <v>29</v>
      </c>
      <c r="C154" s="7">
        <v>862.19</v>
      </c>
      <c r="D154" s="39">
        <f t="shared" ca="1" si="2"/>
        <v>46165.923026041666</v>
      </c>
    </row>
    <row r="155" spans="1:4" ht="13.8" x14ac:dyDescent="0.25">
      <c r="A155" s="6" t="s">
        <v>73</v>
      </c>
      <c r="B155" s="6" t="s">
        <v>59</v>
      </c>
      <c r="C155" s="7">
        <v>1171.18</v>
      </c>
      <c r="D155" s="39">
        <f t="shared" ca="1" si="2"/>
        <v>46165.923026041666</v>
      </c>
    </row>
    <row r="156" spans="1:4" ht="13.8" x14ac:dyDescent="0.25">
      <c r="A156" s="6" t="s">
        <v>58</v>
      </c>
      <c r="B156" s="6" t="s">
        <v>14</v>
      </c>
      <c r="C156" s="7">
        <v>1054.56</v>
      </c>
      <c r="D156" s="39">
        <f t="shared" ca="1" si="2"/>
        <v>46165.923026041666</v>
      </c>
    </row>
    <row r="157" spans="1:4" ht="13.8" x14ac:dyDescent="0.25">
      <c r="A157" s="6" t="s">
        <v>58</v>
      </c>
      <c r="B157" s="6" t="s">
        <v>23</v>
      </c>
      <c r="C157" s="7">
        <v>1681.21</v>
      </c>
      <c r="D157" s="39">
        <f t="shared" ca="1" si="2"/>
        <v>46165.923026041666</v>
      </c>
    </row>
    <row r="158" spans="1:4" ht="13.8" x14ac:dyDescent="0.25">
      <c r="A158" s="6" t="s">
        <v>58</v>
      </c>
      <c r="B158" s="6" t="s">
        <v>36</v>
      </c>
      <c r="C158" s="7">
        <v>379.77</v>
      </c>
      <c r="D158" s="39">
        <f t="shared" ca="1" si="2"/>
        <v>46165.923026041666</v>
      </c>
    </row>
    <row r="159" spans="1:4" ht="13.8" x14ac:dyDescent="0.25">
      <c r="A159" s="6" t="s">
        <v>44</v>
      </c>
      <c r="B159" s="6" t="s">
        <v>45</v>
      </c>
      <c r="C159" s="7">
        <v>1076.33</v>
      </c>
      <c r="D159" s="39">
        <f t="shared" ca="1" si="2"/>
        <v>46165.923026041666</v>
      </c>
    </row>
    <row r="160" spans="1:4" ht="13.8" x14ac:dyDescent="0.25">
      <c r="A160" s="6" t="s">
        <v>44</v>
      </c>
      <c r="B160" s="6" t="s">
        <v>31</v>
      </c>
      <c r="C160" s="7">
        <v>1250.71</v>
      </c>
      <c r="D160" s="39">
        <f t="shared" ca="1" si="2"/>
        <v>46165.923026041666</v>
      </c>
    </row>
    <row r="161" spans="1:4" ht="13.8" x14ac:dyDescent="0.25">
      <c r="A161" s="6" t="s">
        <v>40</v>
      </c>
      <c r="B161" s="6" t="s">
        <v>17</v>
      </c>
      <c r="C161" s="7">
        <v>1118.3399999999999</v>
      </c>
      <c r="D161" s="39">
        <f t="shared" ca="1" si="2"/>
        <v>46165.923026041666</v>
      </c>
    </row>
    <row r="162" spans="1:4" ht="13.8" x14ac:dyDescent="0.25">
      <c r="A162" s="6" t="s">
        <v>70</v>
      </c>
      <c r="B162" s="6" t="s">
        <v>53</v>
      </c>
      <c r="C162" s="7">
        <v>1622.62</v>
      </c>
      <c r="D162" s="39">
        <f t="shared" ca="1" si="2"/>
        <v>46165.923026041666</v>
      </c>
    </row>
    <row r="163" spans="1:4" ht="13.8" x14ac:dyDescent="0.25">
      <c r="A163" s="6" t="s">
        <v>75</v>
      </c>
      <c r="B163" s="6" t="s">
        <v>48</v>
      </c>
      <c r="C163" s="7">
        <v>640.64</v>
      </c>
      <c r="D163" s="39">
        <f t="shared" ca="1" si="2"/>
        <v>46165.923026041666</v>
      </c>
    </row>
    <row r="164" spans="1:4" ht="13.8" x14ac:dyDescent="0.25">
      <c r="A164" s="6" t="s">
        <v>22</v>
      </c>
      <c r="B164" s="6" t="s">
        <v>43</v>
      </c>
      <c r="C164" s="7">
        <v>585.16</v>
      </c>
      <c r="D164" s="39">
        <f t="shared" ca="1" si="2"/>
        <v>46165.923026041666</v>
      </c>
    </row>
    <row r="165" spans="1:4" ht="13.8" x14ac:dyDescent="0.25">
      <c r="A165" s="6" t="s">
        <v>22</v>
      </c>
      <c r="B165" s="6" t="s">
        <v>31</v>
      </c>
      <c r="C165" s="7">
        <v>1109.98</v>
      </c>
      <c r="D165" s="39">
        <f t="shared" ca="1" si="2"/>
        <v>46165.923026041666</v>
      </c>
    </row>
    <row r="166" spans="1:4" ht="13.8" x14ac:dyDescent="0.25">
      <c r="A166" s="6" t="s">
        <v>58</v>
      </c>
      <c r="B166" s="6" t="s">
        <v>45</v>
      </c>
      <c r="C166" s="7">
        <v>1098.08</v>
      </c>
      <c r="D166" s="39">
        <f t="shared" ca="1" si="2"/>
        <v>46165.923026041666</v>
      </c>
    </row>
    <row r="167" spans="1:4" ht="13.8" x14ac:dyDescent="0.25">
      <c r="A167" s="6" t="s">
        <v>65</v>
      </c>
      <c r="B167" s="6" t="s">
        <v>48</v>
      </c>
      <c r="C167" s="7">
        <v>827.25</v>
      </c>
      <c r="D167" s="39">
        <f t="shared" ca="1" si="2"/>
        <v>46165.923026041666</v>
      </c>
    </row>
    <row r="168" spans="1:4" ht="13.8" x14ac:dyDescent="0.25">
      <c r="A168" s="6" t="s">
        <v>70</v>
      </c>
      <c r="B168" s="6" t="s">
        <v>29</v>
      </c>
      <c r="C168" s="7">
        <v>741.88</v>
      </c>
      <c r="D168" s="39">
        <f t="shared" ca="1" si="2"/>
        <v>46165.923026041666</v>
      </c>
    </row>
    <row r="169" spans="1:4" ht="13.8" x14ac:dyDescent="0.25">
      <c r="A169" s="6" t="s">
        <v>72</v>
      </c>
      <c r="B169" s="6" t="s">
        <v>10</v>
      </c>
      <c r="C169" s="7">
        <v>1311.26</v>
      </c>
      <c r="D169" s="39">
        <f t="shared" ca="1" si="2"/>
        <v>46165.923026041666</v>
      </c>
    </row>
    <row r="170" spans="1:4" ht="13.8" x14ac:dyDescent="0.25">
      <c r="A170" s="6" t="s">
        <v>72</v>
      </c>
      <c r="B170" s="6" t="s">
        <v>31</v>
      </c>
      <c r="C170" s="7">
        <v>573.32000000000005</v>
      </c>
      <c r="D170" s="39">
        <f t="shared" ca="1" si="2"/>
        <v>46165.923026041666</v>
      </c>
    </row>
    <row r="171" spans="1:4" ht="13.8" x14ac:dyDescent="0.25">
      <c r="A171" s="6" t="s">
        <v>52</v>
      </c>
      <c r="B171" s="6" t="s">
        <v>23</v>
      </c>
      <c r="C171" s="7">
        <v>1115.22</v>
      </c>
      <c r="D171" s="39">
        <f t="shared" ca="1" si="2"/>
        <v>46165.923026041666</v>
      </c>
    </row>
    <row r="172" spans="1:4" ht="13.8" x14ac:dyDescent="0.25">
      <c r="A172" s="6" t="s">
        <v>13</v>
      </c>
      <c r="B172" s="6" t="s">
        <v>45</v>
      </c>
      <c r="C172" s="7">
        <v>845.84</v>
      </c>
      <c r="D172" s="39">
        <f t="shared" ca="1" si="2"/>
        <v>46165.923026041666</v>
      </c>
    </row>
    <row r="173" spans="1:4" ht="13.8" x14ac:dyDescent="0.25">
      <c r="A173" s="6" t="s">
        <v>30</v>
      </c>
      <c r="B173" s="6" t="s">
        <v>55</v>
      </c>
      <c r="C173" s="7">
        <v>1029.8</v>
      </c>
      <c r="D173" s="39">
        <f t="shared" ca="1" si="2"/>
        <v>46165.923026041666</v>
      </c>
    </row>
    <row r="174" spans="1:4" ht="13.8" x14ac:dyDescent="0.25">
      <c r="A174" s="6" t="s">
        <v>32</v>
      </c>
      <c r="B174" s="6" t="s">
        <v>31</v>
      </c>
      <c r="C174" s="7">
        <v>1189.83</v>
      </c>
      <c r="D174" s="39">
        <f t="shared" ca="1" si="2"/>
        <v>46165.923026041666</v>
      </c>
    </row>
    <row r="175" spans="1:4" ht="13.8" x14ac:dyDescent="0.25">
      <c r="A175" s="6" t="s">
        <v>67</v>
      </c>
      <c r="B175" s="6" t="s">
        <v>43</v>
      </c>
      <c r="C175" s="7">
        <v>704.28</v>
      </c>
      <c r="D175" s="39">
        <f t="shared" ca="1" si="2"/>
        <v>46165.923026041666</v>
      </c>
    </row>
    <row r="176" spans="1:4" ht="13.8" x14ac:dyDescent="0.25">
      <c r="A176" s="6" t="s">
        <v>65</v>
      </c>
      <c r="B176" s="6" t="s">
        <v>47</v>
      </c>
      <c r="C176" s="7">
        <v>1618.22</v>
      </c>
      <c r="D176" s="39">
        <f t="shared" ca="1" si="2"/>
        <v>46165.923026041666</v>
      </c>
    </row>
    <row r="177" spans="1:4" ht="13.8" x14ac:dyDescent="0.25">
      <c r="A177" s="6" t="s">
        <v>73</v>
      </c>
      <c r="B177" s="6" t="s">
        <v>53</v>
      </c>
      <c r="C177" s="7">
        <v>1014.43</v>
      </c>
      <c r="D177" s="39">
        <f t="shared" ca="1" si="2"/>
        <v>46165.923026041666</v>
      </c>
    </row>
    <row r="178" spans="1:4" ht="13.8" x14ac:dyDescent="0.25">
      <c r="A178" s="6" t="s">
        <v>75</v>
      </c>
      <c r="B178" s="6" t="s">
        <v>31</v>
      </c>
      <c r="C178" s="7">
        <v>826.97</v>
      </c>
      <c r="D178" s="39">
        <f t="shared" ca="1" si="2"/>
        <v>46165.923026041666</v>
      </c>
    </row>
    <row r="179" spans="1:4" ht="13.8" x14ac:dyDescent="0.25">
      <c r="A179" s="6" t="s">
        <v>16</v>
      </c>
      <c r="B179" s="6" t="s">
        <v>31</v>
      </c>
      <c r="C179" s="7">
        <v>1022.23</v>
      </c>
      <c r="D179" s="39">
        <f t="shared" ca="1" si="2"/>
        <v>46165.923026041666</v>
      </c>
    </row>
    <row r="180" spans="1:4" ht="13.8" x14ac:dyDescent="0.25">
      <c r="A180" s="6" t="s">
        <v>72</v>
      </c>
      <c r="B180" s="6" t="s">
        <v>29</v>
      </c>
      <c r="C180" s="7">
        <v>1099.69</v>
      </c>
      <c r="D180" s="39">
        <f t="shared" ca="1" si="2"/>
        <v>46165.923026041666</v>
      </c>
    </row>
    <row r="181" spans="1:4" ht="13.8" x14ac:dyDescent="0.25">
      <c r="A181" s="6" t="s">
        <v>52</v>
      </c>
      <c r="B181" s="6" t="s">
        <v>64</v>
      </c>
      <c r="C181" s="7">
        <v>710.52</v>
      </c>
      <c r="D181" s="39">
        <f t="shared" ca="1" si="2"/>
        <v>46165.923026041666</v>
      </c>
    </row>
    <row r="182" spans="1:4" ht="13.8" x14ac:dyDescent="0.25">
      <c r="A182" s="6" t="s">
        <v>52</v>
      </c>
      <c r="B182" s="6" t="s">
        <v>59</v>
      </c>
      <c r="C182" s="7">
        <v>499.18</v>
      </c>
      <c r="D182" s="39">
        <f t="shared" ca="1" si="2"/>
        <v>46165.923026041666</v>
      </c>
    </row>
    <row r="183" spans="1:4" ht="13.8" x14ac:dyDescent="0.25">
      <c r="A183" s="6" t="s">
        <v>37</v>
      </c>
      <c r="B183" s="6" t="s">
        <v>38</v>
      </c>
      <c r="C183" s="7">
        <v>1064.19</v>
      </c>
      <c r="D183" s="39">
        <f t="shared" ca="1" si="2"/>
        <v>46165.923026041666</v>
      </c>
    </row>
    <row r="184" spans="1:4" ht="13.8" x14ac:dyDescent="0.25">
      <c r="A184" s="6" t="s">
        <v>67</v>
      </c>
      <c r="B184" s="6" t="s">
        <v>38</v>
      </c>
      <c r="C184" s="7">
        <v>438.76</v>
      </c>
      <c r="D184" s="39">
        <f t="shared" ca="1" si="2"/>
        <v>46165.923026041666</v>
      </c>
    </row>
    <row r="185" spans="1:4" ht="13.8" x14ac:dyDescent="0.25">
      <c r="A185" s="6" t="s">
        <v>41</v>
      </c>
      <c r="B185" s="6" t="s">
        <v>55</v>
      </c>
      <c r="C185" s="7">
        <v>864.98</v>
      </c>
      <c r="D185" s="39">
        <f t="shared" ca="1" si="2"/>
        <v>46165.923026041666</v>
      </c>
    </row>
    <row r="186" spans="1:4" ht="13.8" x14ac:dyDescent="0.25">
      <c r="A186" s="6" t="s">
        <v>57</v>
      </c>
      <c r="B186" s="6" t="s">
        <v>55</v>
      </c>
      <c r="C186" s="7">
        <v>984.93</v>
      </c>
      <c r="D186" s="39">
        <f t="shared" ca="1" si="2"/>
        <v>46165.923026041666</v>
      </c>
    </row>
    <row r="187" spans="1:4" ht="13.8" x14ac:dyDescent="0.25">
      <c r="A187" s="6" t="s">
        <v>25</v>
      </c>
      <c r="B187" s="6" t="s">
        <v>55</v>
      </c>
      <c r="C187" s="7">
        <v>1493.49</v>
      </c>
      <c r="D187" s="39">
        <f t="shared" ca="1" si="2"/>
        <v>46165.923026041666</v>
      </c>
    </row>
    <row r="188" spans="1:4" ht="13.8" x14ac:dyDescent="0.25">
      <c r="A188" s="6" t="s">
        <v>32</v>
      </c>
      <c r="B188" s="6" t="s">
        <v>53</v>
      </c>
      <c r="C188" s="7">
        <v>689.43</v>
      </c>
      <c r="D188" s="39">
        <f t="shared" ca="1" si="2"/>
        <v>46165.923026041666</v>
      </c>
    </row>
    <row r="189" spans="1:4" ht="13.8" x14ac:dyDescent="0.25">
      <c r="A189" s="6" t="s">
        <v>40</v>
      </c>
      <c r="B189" s="6" t="s">
        <v>59</v>
      </c>
      <c r="C189" s="7">
        <v>682.24</v>
      </c>
      <c r="D189" s="39">
        <f t="shared" ca="1" si="2"/>
        <v>46165.923026041666</v>
      </c>
    </row>
    <row r="190" spans="1:4" ht="13.8" x14ac:dyDescent="0.25">
      <c r="A190" s="6" t="s">
        <v>41</v>
      </c>
      <c r="B190" s="6" t="s">
        <v>26</v>
      </c>
      <c r="C190" s="7">
        <v>458.54</v>
      </c>
      <c r="D190" s="39">
        <f t="shared" ca="1" si="2"/>
        <v>46165.923026041666</v>
      </c>
    </row>
    <row r="191" spans="1:4" ht="13.8" x14ac:dyDescent="0.25">
      <c r="A191" s="6" t="s">
        <v>32</v>
      </c>
      <c r="B191" s="6" t="s">
        <v>26</v>
      </c>
      <c r="C191" s="7">
        <v>1184.25</v>
      </c>
      <c r="D191" s="39">
        <f t="shared" ca="1" si="2"/>
        <v>46165.923026041666</v>
      </c>
    </row>
    <row r="192" spans="1:4" ht="13.8" x14ac:dyDescent="0.25">
      <c r="A192" s="6" t="s">
        <v>25</v>
      </c>
      <c r="B192" s="6" t="s">
        <v>10</v>
      </c>
      <c r="C192" s="7">
        <v>762.14</v>
      </c>
      <c r="D192" s="39">
        <f t="shared" ca="1" si="2"/>
        <v>46165.923026041666</v>
      </c>
    </row>
    <row r="193" spans="1:4" ht="13.8" x14ac:dyDescent="0.25">
      <c r="A193" s="6" t="s">
        <v>22</v>
      </c>
      <c r="B193" s="6" t="s">
        <v>53</v>
      </c>
      <c r="C193" s="7">
        <v>750.71</v>
      </c>
      <c r="D193" s="39">
        <f t="shared" ca="1" si="2"/>
        <v>46165.923026041666</v>
      </c>
    </row>
    <row r="194" spans="1:4" ht="13.8" x14ac:dyDescent="0.25">
      <c r="A194" s="6" t="s">
        <v>75</v>
      </c>
      <c r="B194" s="6" t="s">
        <v>71</v>
      </c>
      <c r="C194" s="7">
        <v>1456.94</v>
      </c>
      <c r="D194" s="39">
        <f t="shared" ca="1" si="2"/>
        <v>46165.923026041666</v>
      </c>
    </row>
    <row r="195" spans="1:4" ht="13.8" x14ac:dyDescent="0.25">
      <c r="A195" s="6" t="s">
        <v>44</v>
      </c>
      <c r="B195" s="6" t="s">
        <v>61</v>
      </c>
      <c r="C195" s="7">
        <v>1093.3800000000001</v>
      </c>
      <c r="D195" s="39">
        <f t="shared" ref="D195:D201" ca="1" si="3">NOW()</f>
        <v>46165.923026041666</v>
      </c>
    </row>
    <row r="196" spans="1:4" ht="13.8" x14ac:dyDescent="0.25">
      <c r="A196" s="6" t="s">
        <v>37</v>
      </c>
      <c r="B196" s="6" t="s">
        <v>43</v>
      </c>
      <c r="C196" s="7">
        <v>934.27</v>
      </c>
      <c r="D196" s="39">
        <f t="shared" ca="1" si="3"/>
        <v>46165.923026041666</v>
      </c>
    </row>
    <row r="197" spans="1:4" ht="13.8" x14ac:dyDescent="0.25">
      <c r="A197" s="6" t="s">
        <v>70</v>
      </c>
      <c r="B197" s="6" t="s">
        <v>36</v>
      </c>
      <c r="C197" s="7">
        <v>1465.35</v>
      </c>
      <c r="D197" s="39">
        <f t="shared" ca="1" si="3"/>
        <v>46165.923026041666</v>
      </c>
    </row>
    <row r="198" spans="1:4" ht="13.8" x14ac:dyDescent="0.25">
      <c r="A198" s="6" t="s">
        <v>52</v>
      </c>
      <c r="B198" s="6" t="s">
        <v>14</v>
      </c>
      <c r="C198" s="7">
        <v>740.8</v>
      </c>
      <c r="D198" s="39">
        <f t="shared" ca="1" si="3"/>
        <v>46165.923026041666</v>
      </c>
    </row>
    <row r="199" spans="1:4" ht="13.8" x14ac:dyDescent="0.25">
      <c r="A199" s="6" t="s">
        <v>58</v>
      </c>
      <c r="B199" s="6" t="s">
        <v>43</v>
      </c>
      <c r="C199" s="7">
        <v>545.44000000000005</v>
      </c>
      <c r="D199" s="39">
        <f t="shared" ca="1" si="3"/>
        <v>46165.923026041666</v>
      </c>
    </row>
    <row r="200" spans="1:4" ht="13.8" x14ac:dyDescent="0.25">
      <c r="A200" s="6" t="s">
        <v>35</v>
      </c>
      <c r="B200" s="6" t="s">
        <v>36</v>
      </c>
      <c r="C200" s="7">
        <v>997.61</v>
      </c>
      <c r="D200" s="39">
        <f t="shared" ca="1" si="3"/>
        <v>46165.923026041666</v>
      </c>
    </row>
    <row r="201" spans="1:4" ht="13.8" x14ac:dyDescent="0.25">
      <c r="A201" s="6" t="s">
        <v>60</v>
      </c>
      <c r="B201" s="6" t="s">
        <v>36</v>
      </c>
      <c r="C201" s="7">
        <v>928.32</v>
      </c>
      <c r="D201" s="39">
        <f t="shared" ca="1" si="3"/>
        <v>46165.923026041666</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25211-CA9E-46B5-9E59-36421D569254}">
  <sheetPr filterMode="1"/>
  <dimension ref="A1:E31"/>
  <sheetViews>
    <sheetView view="pageBreakPreview" zoomScale="60" zoomScaleNormal="85" workbookViewId="0">
      <selection activeCell="G25" sqref="G25"/>
    </sheetView>
  </sheetViews>
  <sheetFormatPr defaultRowHeight="13.8" x14ac:dyDescent="0.25"/>
  <cols>
    <col min="1" max="2" width="21.296875" customWidth="1"/>
    <col min="3" max="3" width="22.3984375" customWidth="1"/>
    <col min="4" max="4" width="17.59765625" customWidth="1"/>
    <col min="5" max="5" width="13.59765625" style="36" customWidth="1"/>
  </cols>
  <sheetData>
    <row r="1" spans="1:5" ht="14.4" x14ac:dyDescent="0.3">
      <c r="A1" s="37" t="s">
        <v>0</v>
      </c>
      <c r="B1" s="37" t="s">
        <v>1</v>
      </c>
      <c r="C1" s="37" t="s">
        <v>121</v>
      </c>
      <c r="D1" s="37" t="s">
        <v>126</v>
      </c>
      <c r="E1" s="37" t="s">
        <v>127</v>
      </c>
    </row>
    <row r="2" spans="1:5" hidden="1" x14ac:dyDescent="0.25">
      <c r="A2" s="40" t="str">
        <f t="array" ref="A2">IFERROR(INDEX(Dataset!A$2:A$201,MATCH(0,COUNTIF(A$1:A1,Dataset!A$2:A$201),0)),"")</f>
        <v>CUST019</v>
      </c>
      <c r="B2" s="40" t="str">
        <f>IFERROR(INDEX(Dataset!B$2:B$201,MATCH(A2,Dataset!A$2:A$201,0)),"")</f>
        <v>James Davis</v>
      </c>
      <c r="C2" s="40">
        <f>IFERROR(SUMIF(Dataset!A$2:A$201,A2,Dataset!E$2:E$201),"")</f>
        <v>4640.1099999999997</v>
      </c>
      <c r="D2" s="40" t="str">
        <f t="shared" ref="D2:D31" si="0">IF(C2&gt;AVERAGE(C$2:C$31),"⭐ High Value","Normal")</f>
        <v>Normal</v>
      </c>
      <c r="E2" s="40">
        <f t="shared" ref="E2:E31" si="1">RANK(C2,C$2:C$31,0)</f>
        <v>21</v>
      </c>
    </row>
    <row r="3" spans="1:5" x14ac:dyDescent="0.25">
      <c r="A3" s="40" t="str">
        <f t="array" ref="A3">IFERROR(INDEX(Dataset!A$2:A$201,MATCH(0,COUNTIF(A$1:A2,Dataset!A$2:A$201),0)),"")</f>
        <v>CUST012</v>
      </c>
      <c r="B3" s="40" t="str">
        <f>IFERROR(INDEX(Dataset!B$2:B$201,MATCH(A3,Dataset!A$2:A$201,0)),"")</f>
        <v>Robert Anderson</v>
      </c>
      <c r="C3" s="40">
        <f>IFERROR(SUMIF(Dataset!A$2:A$201,A3,Dataset!E$2:E$201),"")</f>
        <v>8339</v>
      </c>
      <c r="D3" s="40" t="str">
        <f t="shared" si="0"/>
        <v>⭐ High Value</v>
      </c>
      <c r="E3" s="40">
        <f t="shared" si="1"/>
        <v>8</v>
      </c>
    </row>
    <row r="4" spans="1:5" hidden="1" x14ac:dyDescent="0.25">
      <c r="A4" s="40" t="str">
        <f t="array" ref="A4">IFERROR(INDEX(Dataset!A$2:A$201,MATCH(0,COUNTIF(A$1:A3,Dataset!A$2:A$201),0)),"")</f>
        <v>CUST017</v>
      </c>
      <c r="B4" s="40" t="str">
        <f>IFERROR(INDEX(Dataset!B$2:B$201,MATCH(A4,Dataset!A$2:A$201,0)),"")</f>
        <v>James Taylor</v>
      </c>
      <c r="C4" s="40">
        <f>IFERROR(SUMIF(Dataset!A$2:A$201,A4,Dataset!E$2:E$201),"")</f>
        <v>3419.2</v>
      </c>
      <c r="D4" s="40" t="str">
        <f t="shared" si="0"/>
        <v>Normal</v>
      </c>
      <c r="E4" s="40">
        <f t="shared" si="1"/>
        <v>28</v>
      </c>
    </row>
    <row r="5" spans="1:5" x14ac:dyDescent="0.25">
      <c r="A5" s="40" t="str">
        <f t="array" ref="A5">IFERROR(INDEX(Dataset!A$2:A$201,MATCH(0,COUNTIF(A$1:A4,Dataset!A$2:A$201),0)),"")</f>
        <v>CUST005</v>
      </c>
      <c r="B5" s="40" t="str">
        <f>IFERROR(INDEX(Dataset!B$2:B$201,MATCH(A5,Dataset!A$2:A$201,0)),"")</f>
        <v>Robert Anderson</v>
      </c>
      <c r="C5" s="40">
        <f>IFERROR(SUMIF(Dataset!A$2:A$201,A5,Dataset!E$2:E$201),"")</f>
        <v>6666.130000000001</v>
      </c>
      <c r="D5" s="40" t="str">
        <f t="shared" si="0"/>
        <v>⭐ High Value</v>
      </c>
      <c r="E5" s="40">
        <f t="shared" si="1"/>
        <v>14</v>
      </c>
    </row>
    <row r="6" spans="1:5" x14ac:dyDescent="0.25">
      <c r="A6" s="40" t="str">
        <f t="array" ref="A6">IFERROR(INDEX(Dataset!A$2:A$201,MATCH(0,COUNTIF(A$1:A5,Dataset!A$2:A$201),0)),"")</f>
        <v>CUST030</v>
      </c>
      <c r="B6" s="40" t="str">
        <f>IFERROR(INDEX(Dataset!B$2:B$201,MATCH(A6,Dataset!A$2:A$201,0)),"")</f>
        <v>James Wilson</v>
      </c>
      <c r="C6" s="40">
        <f>IFERROR(SUMIF(Dataset!A$2:A$201,A6,Dataset!E$2:E$201),"")</f>
        <v>7928.71</v>
      </c>
      <c r="D6" s="40" t="str">
        <f t="shared" si="0"/>
        <v>⭐ High Value</v>
      </c>
      <c r="E6" s="40">
        <f t="shared" si="1"/>
        <v>9</v>
      </c>
    </row>
    <row r="7" spans="1:5" x14ac:dyDescent="0.25">
      <c r="A7" s="40" t="str">
        <f t="array" ref="A7">IFERROR(INDEX(Dataset!A$2:A$201,MATCH(0,COUNTIF(A$1:A6,Dataset!A$2:A$201),0)),"")</f>
        <v>CUST007</v>
      </c>
      <c r="B7" s="40" t="str">
        <f>IFERROR(INDEX(Dataset!B$2:B$201,MATCH(A7,Dataset!A$2:A$201,0)),"")</f>
        <v>Michael Anderson</v>
      </c>
      <c r="C7" s="40">
        <f>IFERROR(SUMIF(Dataset!A$2:A$201,A7,Dataset!E$2:E$201),"")</f>
        <v>9941.8799999999992</v>
      </c>
      <c r="D7" s="40" t="str">
        <f t="shared" si="0"/>
        <v>⭐ High Value</v>
      </c>
      <c r="E7" s="40">
        <f t="shared" si="1"/>
        <v>3</v>
      </c>
    </row>
    <row r="8" spans="1:5" x14ac:dyDescent="0.25">
      <c r="A8" s="40" t="str">
        <f t="array" ref="A8">IFERROR(INDEX(Dataset!A$2:A$201,MATCH(0,COUNTIF(A$1:A7,Dataset!A$2:A$201),0)),"")</f>
        <v>CUST001</v>
      </c>
      <c r="B8" s="40" t="str">
        <f>IFERROR(INDEX(Dataset!B$2:B$201,MATCH(A8,Dataset!A$2:A$201,0)),"")</f>
        <v>Linda Wilson</v>
      </c>
      <c r="C8" s="40">
        <f>IFERROR(SUMIF(Dataset!A$2:A$201,A8,Dataset!E$2:E$201),"")</f>
        <v>6549.55</v>
      </c>
      <c r="D8" s="40" t="str">
        <f t="shared" si="0"/>
        <v>⭐ High Value</v>
      </c>
      <c r="E8" s="40">
        <f t="shared" si="1"/>
        <v>15</v>
      </c>
    </row>
    <row r="9" spans="1:5" x14ac:dyDescent="0.25">
      <c r="A9" s="40" t="str">
        <f t="array" ref="A9">IFERROR(INDEX(Dataset!A$2:A$201,MATCH(0,COUNTIF(A$1:A8,Dataset!A$2:A$201),0)),"")</f>
        <v>CUST026</v>
      </c>
      <c r="B9" s="40" t="str">
        <f>IFERROR(INDEX(Dataset!B$2:B$201,MATCH(A9,Dataset!A$2:A$201,0)),"")</f>
        <v>Mary Davis</v>
      </c>
      <c r="C9" s="40">
        <f>IFERROR(SUMIF(Dataset!A$2:A$201,A9,Dataset!E$2:E$201),"")</f>
        <v>9371.81</v>
      </c>
      <c r="D9" s="40" t="str">
        <f t="shared" si="0"/>
        <v>⭐ High Value</v>
      </c>
      <c r="E9" s="40">
        <f t="shared" si="1"/>
        <v>5</v>
      </c>
    </row>
    <row r="10" spans="1:5" hidden="1" x14ac:dyDescent="0.25">
      <c r="A10" s="40" t="str">
        <f t="array" ref="A10">IFERROR(INDEX(Dataset!A$2:A$201,MATCH(0,COUNTIF(A$1:A9,Dataset!A$2:A$201),0)),"")</f>
        <v>CUST009</v>
      </c>
      <c r="B10" s="40" t="str">
        <f>IFERROR(INDEX(Dataset!B$2:B$201,MATCH(A10,Dataset!A$2:A$201,0)),"")</f>
        <v>Linda Jackson</v>
      </c>
      <c r="C10" s="40">
        <f>IFERROR(SUMIF(Dataset!A$2:A$201,A10,Dataset!E$2:E$201),"")</f>
        <v>6505.2</v>
      </c>
      <c r="D10" s="40" t="str">
        <f t="shared" si="0"/>
        <v>Normal</v>
      </c>
      <c r="E10" s="40">
        <f t="shared" si="1"/>
        <v>16</v>
      </c>
    </row>
    <row r="11" spans="1:5" hidden="1" x14ac:dyDescent="0.25">
      <c r="A11" s="40" t="str">
        <f t="array" ref="A11">IFERROR(INDEX(Dataset!A$2:A$201,MATCH(0,COUNTIF(A$1:A10,Dataset!A$2:A$201),0)),"")</f>
        <v>CUST010</v>
      </c>
      <c r="B11" s="40" t="str">
        <f>IFERROR(INDEX(Dataset!B$2:B$201,MATCH(A11,Dataset!A$2:A$201,0)),"")</f>
        <v>David Thomas</v>
      </c>
      <c r="C11" s="40">
        <f>IFERROR(SUMIF(Dataset!A$2:A$201,A11,Dataset!E$2:E$201),"")</f>
        <v>4259.22</v>
      </c>
      <c r="D11" s="40" t="str">
        <f t="shared" si="0"/>
        <v>Normal</v>
      </c>
      <c r="E11" s="40">
        <f t="shared" si="1"/>
        <v>24</v>
      </c>
    </row>
    <row r="12" spans="1:5" x14ac:dyDescent="0.25">
      <c r="A12" s="40" t="str">
        <f t="array" ref="A12">IFERROR(INDEX(Dataset!A$2:A$201,MATCH(0,COUNTIF(A$1:A11,Dataset!A$2:A$201),0)),"")</f>
        <v>CUST014</v>
      </c>
      <c r="B12" s="40" t="str">
        <f>IFERROR(INDEX(Dataset!B$2:B$201,MATCH(A12,Dataset!A$2:A$201,0)),"")</f>
        <v>Emma Davis</v>
      </c>
      <c r="C12" s="40">
        <f>IFERROR(SUMIF(Dataset!A$2:A$201,A12,Dataset!E$2:E$201),"")</f>
        <v>6729.8899999999994</v>
      </c>
      <c r="D12" s="40" t="str">
        <f t="shared" si="0"/>
        <v>⭐ High Value</v>
      </c>
      <c r="E12" s="40">
        <f t="shared" si="1"/>
        <v>12</v>
      </c>
    </row>
    <row r="13" spans="1:5" hidden="1" x14ac:dyDescent="0.25">
      <c r="A13" s="40" t="str">
        <f t="array" ref="A13">IFERROR(INDEX(Dataset!A$2:A$201,MATCH(0,COUNTIF(A$1:A12,Dataset!A$2:A$201),0)),"")</f>
        <v>CUST023</v>
      </c>
      <c r="B13" s="40" t="str">
        <f>IFERROR(INDEX(Dataset!B$2:B$201,MATCH(A13,Dataset!A$2:A$201,0)),"")</f>
        <v>Robert Anderson</v>
      </c>
      <c r="C13" s="40">
        <f>IFERROR(SUMIF(Dataset!A$2:A$201,A13,Dataset!E$2:E$201),"")</f>
        <v>5913.68</v>
      </c>
      <c r="D13" s="40" t="str">
        <f t="shared" si="0"/>
        <v>Normal</v>
      </c>
      <c r="E13" s="40">
        <f t="shared" si="1"/>
        <v>18</v>
      </c>
    </row>
    <row r="14" spans="1:5" hidden="1" x14ac:dyDescent="0.25">
      <c r="A14" s="40" t="str">
        <f t="array" ref="A14">IFERROR(INDEX(Dataset!A$2:A$201,MATCH(0,COUNTIF(A$1:A13,Dataset!A$2:A$201),0)),"")</f>
        <v>CUST029</v>
      </c>
      <c r="B14" s="40" t="str">
        <f>IFERROR(INDEX(Dataset!B$2:B$201,MATCH(A14,Dataset!A$2:A$201,0)),"")</f>
        <v>David Smith</v>
      </c>
      <c r="C14" s="40">
        <f>IFERROR(SUMIF(Dataset!A$2:A$201,A14,Dataset!E$2:E$201),"")</f>
        <v>5779.05</v>
      </c>
      <c r="D14" s="40" t="str">
        <f t="shared" si="0"/>
        <v>Normal</v>
      </c>
      <c r="E14" s="40">
        <f t="shared" si="1"/>
        <v>19</v>
      </c>
    </row>
    <row r="15" spans="1:5" x14ac:dyDescent="0.25">
      <c r="A15" s="40" t="str">
        <f t="array" ref="A15">IFERROR(INDEX(Dataset!A$2:A$201,MATCH(0,COUNTIF(A$1:A14,Dataset!A$2:A$201),0)),"")</f>
        <v>CUST008</v>
      </c>
      <c r="B15" s="40" t="str">
        <f>IFERROR(INDEX(Dataset!B$2:B$201,MATCH(A15,Dataset!A$2:A$201,0)),"")</f>
        <v>Robert Anderson</v>
      </c>
      <c r="C15" s="40">
        <f>IFERROR(SUMIF(Dataset!A$2:A$201,A15,Dataset!E$2:E$201),"")</f>
        <v>9760.7999999999993</v>
      </c>
      <c r="D15" s="40" t="str">
        <f t="shared" si="0"/>
        <v>⭐ High Value</v>
      </c>
      <c r="E15" s="40">
        <f t="shared" si="1"/>
        <v>4</v>
      </c>
    </row>
    <row r="16" spans="1:5" hidden="1" x14ac:dyDescent="0.25">
      <c r="A16" s="40" t="str">
        <f t="array" ref="A16">IFERROR(INDEX(Dataset!A$2:A$201,MATCH(0,COUNTIF(A$1:A15,Dataset!A$2:A$201),0)),"")</f>
        <v>CUST006</v>
      </c>
      <c r="B16" s="40" t="str">
        <f>IFERROR(INDEX(Dataset!B$2:B$201,MATCH(A16,Dataset!A$2:A$201,0)),"")</f>
        <v>Mary Jackson</v>
      </c>
      <c r="C16" s="40">
        <f>IFERROR(SUMIF(Dataset!A$2:A$201,A16,Dataset!E$2:E$201),"")</f>
        <v>2699.75</v>
      </c>
      <c r="D16" s="40" t="str">
        <f t="shared" si="0"/>
        <v>Normal</v>
      </c>
      <c r="E16" s="40">
        <f t="shared" si="1"/>
        <v>30</v>
      </c>
    </row>
    <row r="17" spans="1:5" hidden="1" x14ac:dyDescent="0.25">
      <c r="A17" s="40" t="str">
        <f t="array" ref="A17">IFERROR(INDEX(Dataset!A$2:A$201,MATCH(0,COUNTIF(A$1:A16,Dataset!A$2:A$201),0)),"")</f>
        <v>CUST022</v>
      </c>
      <c r="B17" s="40" t="str">
        <f>IFERROR(INDEX(Dataset!B$2:B$201,MATCH(A17,Dataset!A$2:A$201,0)),"")</f>
        <v>Robert Anderson</v>
      </c>
      <c r="C17" s="40">
        <f>IFERROR(SUMIF(Dataset!A$2:A$201,A17,Dataset!E$2:E$201),"")</f>
        <v>4418.2800000000007</v>
      </c>
      <c r="D17" s="40" t="str">
        <f t="shared" si="0"/>
        <v>Normal</v>
      </c>
      <c r="E17" s="40">
        <f t="shared" si="1"/>
        <v>22</v>
      </c>
    </row>
    <row r="18" spans="1:5" x14ac:dyDescent="0.25">
      <c r="A18" s="40" t="str">
        <f t="array" ref="A18">IFERROR(INDEX(Dataset!A$2:A$201,MATCH(0,COUNTIF(A$1:A17,Dataset!A$2:A$201),0)),"")</f>
        <v>CUST028</v>
      </c>
      <c r="B18" s="40" t="str">
        <f>IFERROR(INDEX(Dataset!B$2:B$201,MATCH(A18,Dataset!A$2:A$201,0)),"")</f>
        <v>Linda Taylor</v>
      </c>
      <c r="C18" s="40">
        <f>IFERROR(SUMIF(Dataset!A$2:A$201,A18,Dataset!E$2:E$201),"")</f>
        <v>10293.870000000001</v>
      </c>
      <c r="D18" s="40" t="str">
        <f t="shared" si="0"/>
        <v>⭐ High Value</v>
      </c>
      <c r="E18" s="40">
        <f t="shared" si="1"/>
        <v>2</v>
      </c>
    </row>
    <row r="19" spans="1:5" x14ac:dyDescent="0.25">
      <c r="A19" s="40" t="str">
        <f t="array" ref="A19">IFERROR(INDEX(Dataset!A$2:A$201,MATCH(0,COUNTIF(A$1:A18,Dataset!A$2:A$201),0)),"")</f>
        <v>CUST025</v>
      </c>
      <c r="B19" s="40" t="str">
        <f>IFERROR(INDEX(Dataset!B$2:B$201,MATCH(A19,Dataset!A$2:A$201,0)),"")</f>
        <v>David Brown</v>
      </c>
      <c r="C19" s="40">
        <f>IFERROR(SUMIF(Dataset!A$2:A$201,A19,Dataset!E$2:E$201),"")</f>
        <v>6716.52</v>
      </c>
      <c r="D19" s="40" t="str">
        <f t="shared" si="0"/>
        <v>⭐ High Value</v>
      </c>
      <c r="E19" s="40">
        <f t="shared" si="1"/>
        <v>13</v>
      </c>
    </row>
    <row r="20" spans="1:5" x14ac:dyDescent="0.25">
      <c r="A20" s="40" t="str">
        <f t="array" ref="A20">IFERROR(INDEX(Dataset!A$2:A$201,MATCH(0,COUNTIF(A$1:A19,Dataset!A$2:A$201),0)),"")</f>
        <v>CUST021</v>
      </c>
      <c r="B20" s="40" t="str">
        <f>IFERROR(INDEX(Dataset!B$2:B$201,MATCH(A20,Dataset!A$2:A$201,0)),"")</f>
        <v>Sarah Anderson</v>
      </c>
      <c r="C20" s="40">
        <f>IFERROR(SUMIF(Dataset!A$2:A$201,A20,Dataset!E$2:E$201),"")</f>
        <v>8740.18</v>
      </c>
      <c r="D20" s="40" t="str">
        <f t="shared" si="0"/>
        <v>⭐ High Value</v>
      </c>
      <c r="E20" s="40">
        <f t="shared" si="1"/>
        <v>6</v>
      </c>
    </row>
    <row r="21" spans="1:5" x14ac:dyDescent="0.25">
      <c r="A21" s="40" t="str">
        <f t="array" ref="A21">IFERROR(INDEX(Dataset!A$2:A$201,MATCH(0,COUNTIF(A$1:A20,Dataset!A$2:A$201),0)),"")</f>
        <v>CUST015</v>
      </c>
      <c r="B21" s="40" t="str">
        <f>IFERROR(INDEX(Dataset!B$2:B$201,MATCH(A21,Dataset!A$2:A$201,0)),"")</f>
        <v>Linda Taylor</v>
      </c>
      <c r="C21" s="40">
        <f>IFERROR(SUMIF(Dataset!A$2:A$201,A21,Dataset!E$2:E$201),"")</f>
        <v>11611.060000000001</v>
      </c>
      <c r="D21" s="40" t="str">
        <f t="shared" si="0"/>
        <v>⭐ High Value</v>
      </c>
      <c r="E21" s="40">
        <f t="shared" si="1"/>
        <v>1</v>
      </c>
    </row>
    <row r="22" spans="1:5" hidden="1" x14ac:dyDescent="0.25">
      <c r="A22" s="40" t="str">
        <f t="array" ref="A22">IFERROR(INDEX(Dataset!A$2:A$201,MATCH(0,COUNTIF(A$1:A21,Dataset!A$2:A$201),0)),"")</f>
        <v>CUST016</v>
      </c>
      <c r="B22" s="40" t="str">
        <f>IFERROR(INDEX(Dataset!B$2:B$201,MATCH(A22,Dataset!A$2:A$201,0)),"")</f>
        <v>Emma Wilson</v>
      </c>
      <c r="C22" s="40">
        <f>IFERROR(SUMIF(Dataset!A$2:A$201,A22,Dataset!E$2:E$201),"")</f>
        <v>3369.17</v>
      </c>
      <c r="D22" s="40" t="str">
        <f t="shared" si="0"/>
        <v>Normal</v>
      </c>
      <c r="E22" s="40">
        <f t="shared" si="1"/>
        <v>29</v>
      </c>
    </row>
    <row r="23" spans="1:5" hidden="1" x14ac:dyDescent="0.25">
      <c r="A23" s="40" t="str">
        <f t="array" ref="A23">IFERROR(INDEX(Dataset!A$2:A$201,MATCH(0,COUNTIF(A$1:A22,Dataset!A$2:A$201),0)),"")</f>
        <v>CUST011</v>
      </c>
      <c r="B23" s="40" t="str">
        <f>IFERROR(INDEX(Dataset!B$2:B$201,MATCH(A23,Dataset!A$2:A$201,0)),"")</f>
        <v>Mary Davis</v>
      </c>
      <c r="C23" s="40">
        <f>IFERROR(SUMIF(Dataset!A$2:A$201,A23,Dataset!E$2:E$201),"")</f>
        <v>3762.2900000000004</v>
      </c>
      <c r="D23" s="40" t="str">
        <f t="shared" si="0"/>
        <v>Normal</v>
      </c>
      <c r="E23" s="40">
        <f t="shared" si="1"/>
        <v>27</v>
      </c>
    </row>
    <row r="24" spans="1:5" hidden="1" x14ac:dyDescent="0.25">
      <c r="A24" s="40" t="str">
        <f t="array" ref="A24">IFERROR(INDEX(Dataset!A$2:A$201,MATCH(0,COUNTIF(A$1:A23,Dataset!A$2:A$201),0)),"")</f>
        <v>CUST002</v>
      </c>
      <c r="B24" s="40" t="str">
        <f>IFERROR(INDEX(Dataset!B$2:B$201,MATCH(A24,Dataset!A$2:A$201,0)),"")</f>
        <v>Lisa Davis</v>
      </c>
      <c r="C24" s="40">
        <f>IFERROR(SUMIF(Dataset!A$2:A$201,A24,Dataset!E$2:E$201),"")</f>
        <v>6481.43</v>
      </c>
      <c r="D24" s="40" t="str">
        <f t="shared" si="0"/>
        <v>Normal</v>
      </c>
      <c r="E24" s="40">
        <f t="shared" si="1"/>
        <v>17</v>
      </c>
    </row>
    <row r="25" spans="1:5" x14ac:dyDescent="0.25">
      <c r="A25" s="40" t="str">
        <f t="array" ref="A25">IFERROR(INDEX(Dataset!A$2:A$201,MATCH(0,COUNTIF(A$1:A24,Dataset!A$2:A$201),0)),"")</f>
        <v>CUST003</v>
      </c>
      <c r="B25" s="40" t="str">
        <f>IFERROR(INDEX(Dataset!B$2:B$201,MATCH(A25,Dataset!A$2:A$201,0)),"")</f>
        <v>Emma Davis</v>
      </c>
      <c r="C25" s="40">
        <f>IFERROR(SUMIF(Dataset!A$2:A$201,A25,Dataset!E$2:E$201),"")</f>
        <v>8490.18</v>
      </c>
      <c r="D25" s="40" t="str">
        <f t="shared" si="0"/>
        <v>⭐ High Value</v>
      </c>
      <c r="E25" s="40">
        <f t="shared" si="1"/>
        <v>7</v>
      </c>
    </row>
    <row r="26" spans="1:5" hidden="1" x14ac:dyDescent="0.25">
      <c r="A26" s="40" t="str">
        <f t="array" ref="A26">IFERROR(INDEX(Dataset!A$2:A$201,MATCH(0,COUNTIF(A$1:A25,Dataset!A$2:A$201),0)),"")</f>
        <v>CUST020</v>
      </c>
      <c r="B26" s="40" t="str">
        <f>IFERROR(INDEX(Dataset!B$2:B$201,MATCH(A26,Dataset!A$2:A$201,0)),"")</f>
        <v>David Brown</v>
      </c>
      <c r="C26" s="40">
        <f>IFERROR(SUMIF(Dataset!A$2:A$201,A26,Dataset!E$2:E$201),"")</f>
        <v>4413.71</v>
      </c>
      <c r="D26" s="40" t="str">
        <f t="shared" si="0"/>
        <v>Normal</v>
      </c>
      <c r="E26" s="40">
        <f t="shared" si="1"/>
        <v>23</v>
      </c>
    </row>
    <row r="27" spans="1:5" x14ac:dyDescent="0.25">
      <c r="A27" s="40" t="str">
        <f t="array" ref="A27">IFERROR(INDEX(Dataset!A$2:A$201,MATCH(0,COUNTIF(A$1:A26,Dataset!A$2:A$201),0)),"")</f>
        <v>CUST024</v>
      </c>
      <c r="B27" s="40" t="str">
        <f>IFERROR(INDEX(Dataset!B$2:B$201,MATCH(A27,Dataset!A$2:A$201,0)),"")</f>
        <v>David Brown</v>
      </c>
      <c r="C27" s="40">
        <f>IFERROR(SUMIF(Dataset!A$2:A$201,A27,Dataset!E$2:E$201),"")</f>
        <v>7583.1299999999992</v>
      </c>
      <c r="D27" s="40" t="str">
        <f t="shared" si="0"/>
        <v>⭐ High Value</v>
      </c>
      <c r="E27" s="40">
        <f t="shared" si="1"/>
        <v>11</v>
      </c>
    </row>
    <row r="28" spans="1:5" x14ac:dyDescent="0.25">
      <c r="A28" s="40" t="str">
        <f t="array" ref="A28">IFERROR(INDEX(Dataset!A$2:A$201,MATCH(0,COUNTIF(A$1:A27,Dataset!A$2:A$201),0)),"")</f>
        <v>CUST004</v>
      </c>
      <c r="B28" s="40" t="str">
        <f>IFERROR(INDEX(Dataset!B$2:B$201,MATCH(A28,Dataset!A$2:A$201,0)),"")</f>
        <v>Lisa Thomas</v>
      </c>
      <c r="C28" s="40">
        <f>IFERROR(SUMIF(Dataset!A$2:A$201,A28,Dataset!E$2:E$201),"")</f>
        <v>7813.59</v>
      </c>
      <c r="D28" s="40" t="str">
        <f t="shared" si="0"/>
        <v>⭐ High Value</v>
      </c>
      <c r="E28" s="40">
        <f t="shared" si="1"/>
        <v>10</v>
      </c>
    </row>
    <row r="29" spans="1:5" hidden="1" x14ac:dyDescent="0.25">
      <c r="A29" s="40" t="str">
        <f t="array" ref="A29">IFERROR(INDEX(Dataset!A$2:A$201,MATCH(0,COUNTIF(A$1:A28,Dataset!A$2:A$201),0)),"")</f>
        <v>CUST013</v>
      </c>
      <c r="B29" s="40" t="str">
        <f>IFERROR(INDEX(Dataset!B$2:B$201,MATCH(A29,Dataset!A$2:A$201,0)),"")</f>
        <v>Robert Anderson</v>
      </c>
      <c r="C29" s="40">
        <f>IFERROR(SUMIF(Dataset!A$2:A$201,A29,Dataset!E$2:E$201),"")</f>
        <v>4162.4400000000005</v>
      </c>
      <c r="D29" s="40" t="str">
        <f t="shared" si="0"/>
        <v>Normal</v>
      </c>
      <c r="E29" s="40">
        <f t="shared" si="1"/>
        <v>25</v>
      </c>
    </row>
    <row r="30" spans="1:5" hidden="1" x14ac:dyDescent="0.25">
      <c r="A30" s="40" t="str">
        <f t="array" ref="A30">IFERROR(INDEX(Dataset!A$2:A$201,MATCH(0,COUNTIF(A$1:A29,Dataset!A$2:A$201),0)),"")</f>
        <v>CUST027</v>
      </c>
      <c r="B30" s="40" t="str">
        <f>IFERROR(INDEX(Dataset!B$2:B$201,MATCH(A30,Dataset!A$2:A$201,0)),"")</f>
        <v>Emma Davis</v>
      </c>
      <c r="C30" s="40">
        <f>IFERROR(SUMIF(Dataset!A$2:A$201,A30,Dataset!E$2:E$201),"")</f>
        <v>3906.04</v>
      </c>
      <c r="D30" s="40" t="str">
        <f t="shared" si="0"/>
        <v>Normal</v>
      </c>
      <c r="E30" s="40">
        <f t="shared" si="1"/>
        <v>26</v>
      </c>
    </row>
    <row r="31" spans="1:5" hidden="1" x14ac:dyDescent="0.25">
      <c r="A31" s="40" t="str">
        <f t="array" ref="A31">IFERROR(INDEX(Dataset!A$2:A$201,MATCH(0,COUNTIF(A$1:A30,Dataset!A$2:A$201),0)),"")</f>
        <v>CUST018</v>
      </c>
      <c r="B31" s="40" t="str">
        <f>IFERROR(INDEX(Dataset!B$2:B$201,MATCH(A31,Dataset!A$2:A$201,0)),"")</f>
        <v>Mary Jackson</v>
      </c>
      <c r="C31" s="40">
        <f>IFERROR(SUMIF(Dataset!A$2:A$201,A31,Dataset!E$2:E$201),"")</f>
        <v>4951.8899999999994</v>
      </c>
      <c r="D31" s="40" t="str">
        <f t="shared" si="0"/>
        <v>Normal</v>
      </c>
      <c r="E31" s="40">
        <f t="shared" si="1"/>
        <v>20</v>
      </c>
    </row>
  </sheetData>
  <autoFilter ref="A1:E31" xr:uid="{B3325211-CA9E-46B5-9E59-36421D569254}">
    <filterColumn colId="3">
      <filters>
        <filter val="⭐ High Value"/>
      </filters>
    </filterColumn>
    <sortState xmlns:xlrd2="http://schemas.microsoft.com/office/spreadsheetml/2017/richdata2" ref="A3:E28">
      <sortCondition ref="C1:C31"/>
    </sortState>
  </autoFilter>
  <conditionalFormatting sqref="A2:E31">
    <cfRule type="expression" dxfId="0" priority="1">
      <formula>$D2="⭐ High Value"</formula>
    </cfRule>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73011-358A-47F0-84D7-ADF71A52D9E6}">
  <dimension ref="A1:D104"/>
  <sheetViews>
    <sheetView view="pageBreakPreview" zoomScale="30" zoomScaleNormal="46" zoomScaleSheetLayoutView="30" workbookViewId="0">
      <selection activeCell="W6" sqref="W6"/>
    </sheetView>
  </sheetViews>
  <sheetFormatPr defaultRowHeight="13.8" x14ac:dyDescent="0.25"/>
  <cols>
    <col min="1" max="1" width="24.8984375" bestFit="1" customWidth="1"/>
    <col min="2" max="2" width="14.3984375" bestFit="1" customWidth="1"/>
    <col min="3" max="3" width="17.69921875" bestFit="1" customWidth="1"/>
    <col min="4" max="4" width="14.3984375" bestFit="1" customWidth="1"/>
  </cols>
  <sheetData>
    <row r="1" spans="1:3" x14ac:dyDescent="0.25">
      <c r="A1" s="45" t="s">
        <v>2</v>
      </c>
      <c r="B1" s="45" t="s">
        <v>3</v>
      </c>
      <c r="C1" t="s">
        <v>137</v>
      </c>
    </row>
    <row r="2" spans="1:3" x14ac:dyDescent="0.25">
      <c r="A2" t="s">
        <v>34</v>
      </c>
      <c r="C2" s="3">
        <v>43468.33</v>
      </c>
    </row>
    <row r="3" spans="1:3" x14ac:dyDescent="0.25">
      <c r="B3" t="s">
        <v>12</v>
      </c>
      <c r="C3" s="3">
        <v>11297.150000000001</v>
      </c>
    </row>
    <row r="4" spans="1:3" x14ac:dyDescent="0.25">
      <c r="B4" t="s">
        <v>15</v>
      </c>
      <c r="C4" s="3">
        <v>12200.26</v>
      </c>
    </row>
    <row r="5" spans="1:3" x14ac:dyDescent="0.25">
      <c r="B5" t="s">
        <v>21</v>
      </c>
      <c r="C5" s="3">
        <v>6621.24</v>
      </c>
    </row>
    <row r="6" spans="1:3" x14ac:dyDescent="0.25">
      <c r="B6" t="s">
        <v>27</v>
      </c>
      <c r="C6" s="3">
        <v>4876.96</v>
      </c>
    </row>
    <row r="7" spans="1:3" x14ac:dyDescent="0.25">
      <c r="B7" t="s">
        <v>39</v>
      </c>
      <c r="C7" s="3">
        <v>8472.7199999999993</v>
      </c>
    </row>
    <row r="8" spans="1:3" x14ac:dyDescent="0.25">
      <c r="A8" t="s">
        <v>18</v>
      </c>
      <c r="C8" s="3">
        <v>32441.640000000003</v>
      </c>
    </row>
    <row r="9" spans="1:3" x14ac:dyDescent="0.25">
      <c r="B9" t="s">
        <v>12</v>
      </c>
      <c r="C9" s="3">
        <v>11389.090000000002</v>
      </c>
    </row>
    <row r="10" spans="1:3" x14ac:dyDescent="0.25">
      <c r="B10" t="s">
        <v>15</v>
      </c>
      <c r="C10" s="3">
        <v>2401.4499999999998</v>
      </c>
    </row>
    <row r="11" spans="1:3" x14ac:dyDescent="0.25">
      <c r="B11" t="s">
        <v>21</v>
      </c>
      <c r="C11" s="3">
        <v>2869.54</v>
      </c>
    </row>
    <row r="12" spans="1:3" x14ac:dyDescent="0.25">
      <c r="B12" t="s">
        <v>27</v>
      </c>
      <c r="C12" s="3">
        <v>7592.3399999999992</v>
      </c>
    </row>
    <row r="13" spans="1:3" x14ac:dyDescent="0.25">
      <c r="B13" t="s">
        <v>39</v>
      </c>
      <c r="C13" s="3">
        <v>8189.2200000000012</v>
      </c>
    </row>
    <row r="14" spans="1:3" x14ac:dyDescent="0.25">
      <c r="A14" t="s">
        <v>24</v>
      </c>
      <c r="C14" s="3">
        <v>34975.420000000006</v>
      </c>
    </row>
    <row r="15" spans="1:3" x14ac:dyDescent="0.25">
      <c r="B15" t="s">
        <v>12</v>
      </c>
      <c r="C15" s="3">
        <v>8037.0100000000011</v>
      </c>
    </row>
    <row r="16" spans="1:3" x14ac:dyDescent="0.25">
      <c r="B16" t="s">
        <v>15</v>
      </c>
      <c r="C16" s="3">
        <v>8422.82</v>
      </c>
    </row>
    <row r="17" spans="1:3" x14ac:dyDescent="0.25">
      <c r="B17" t="s">
        <v>21</v>
      </c>
      <c r="C17" s="3">
        <v>8191.7099999999991</v>
      </c>
    </row>
    <row r="18" spans="1:3" x14ac:dyDescent="0.25">
      <c r="B18" t="s">
        <v>27</v>
      </c>
      <c r="C18" s="3">
        <v>6978.08</v>
      </c>
    </row>
    <row r="19" spans="1:3" x14ac:dyDescent="0.25">
      <c r="B19" t="s">
        <v>39</v>
      </c>
      <c r="C19" s="3">
        <v>3345.8</v>
      </c>
    </row>
    <row r="20" spans="1:3" x14ac:dyDescent="0.25">
      <c r="A20" t="s">
        <v>20</v>
      </c>
      <c r="C20" s="3">
        <v>40248.79</v>
      </c>
    </row>
    <row r="21" spans="1:3" x14ac:dyDescent="0.25">
      <c r="B21" t="s">
        <v>12</v>
      </c>
      <c r="C21" s="3">
        <v>9588.0400000000009</v>
      </c>
    </row>
    <row r="22" spans="1:3" x14ac:dyDescent="0.25">
      <c r="B22" t="s">
        <v>15</v>
      </c>
      <c r="C22" s="3">
        <v>8393.630000000001</v>
      </c>
    </row>
    <row r="23" spans="1:3" x14ac:dyDescent="0.25">
      <c r="B23" t="s">
        <v>21</v>
      </c>
      <c r="C23" s="3">
        <v>11989.070000000003</v>
      </c>
    </row>
    <row r="24" spans="1:3" x14ac:dyDescent="0.25">
      <c r="B24" t="s">
        <v>27</v>
      </c>
      <c r="C24" s="3">
        <v>7982.73</v>
      </c>
    </row>
    <row r="25" spans="1:3" x14ac:dyDescent="0.25">
      <c r="B25" t="s">
        <v>39</v>
      </c>
      <c r="C25" s="3">
        <v>2295.3199999999997</v>
      </c>
    </row>
    <row r="26" spans="1:3" x14ac:dyDescent="0.25">
      <c r="A26" t="s">
        <v>11</v>
      </c>
      <c r="C26" s="3">
        <v>44083.58</v>
      </c>
    </row>
    <row r="27" spans="1:3" x14ac:dyDescent="0.25">
      <c r="B27" t="s">
        <v>12</v>
      </c>
      <c r="C27" s="3">
        <v>6691.17</v>
      </c>
    </row>
    <row r="28" spans="1:3" x14ac:dyDescent="0.25">
      <c r="B28" t="s">
        <v>15</v>
      </c>
      <c r="C28" s="3">
        <v>10509.429999999998</v>
      </c>
    </row>
    <row r="29" spans="1:3" x14ac:dyDescent="0.25">
      <c r="B29" t="s">
        <v>21</v>
      </c>
      <c r="C29" s="3">
        <v>11372.44</v>
      </c>
    </row>
    <row r="30" spans="1:3" x14ac:dyDescent="0.25">
      <c r="B30" t="s">
        <v>27</v>
      </c>
      <c r="C30" s="3">
        <v>9182.7800000000007</v>
      </c>
    </row>
    <row r="31" spans="1:3" x14ac:dyDescent="0.25">
      <c r="B31" t="s">
        <v>39</v>
      </c>
      <c r="C31" s="3">
        <v>6327.76</v>
      </c>
    </row>
    <row r="32" spans="1:3" x14ac:dyDescent="0.25">
      <c r="A32" t="s">
        <v>159</v>
      </c>
      <c r="C32" s="3"/>
    </row>
    <row r="33" spans="1:4" x14ac:dyDescent="0.25">
      <c r="A33" t="s">
        <v>136</v>
      </c>
      <c r="C33" s="3">
        <v>195217.76000000004</v>
      </c>
    </row>
    <row r="37" spans="1:4" x14ac:dyDescent="0.25">
      <c r="A37" s="45" t="s">
        <v>153</v>
      </c>
      <c r="B37" s="45" t="s">
        <v>154</v>
      </c>
      <c r="C37" s="45" t="s">
        <v>7</v>
      </c>
      <c r="D37" t="s">
        <v>137</v>
      </c>
    </row>
    <row r="38" spans="1:4" x14ac:dyDescent="0.25">
      <c r="A38" t="s">
        <v>139</v>
      </c>
      <c r="D38" s="78">
        <v>145429.36000000002</v>
      </c>
    </row>
    <row r="39" spans="1:4" x14ac:dyDescent="0.25">
      <c r="B39" t="s">
        <v>141</v>
      </c>
      <c r="D39" s="78">
        <v>19029.96</v>
      </c>
    </row>
    <row r="40" spans="1:4" x14ac:dyDescent="0.25">
      <c r="B40" t="s">
        <v>142</v>
      </c>
      <c r="D40" s="78">
        <v>18507.339999999997</v>
      </c>
    </row>
    <row r="41" spans="1:4" x14ac:dyDescent="0.25">
      <c r="B41" t="s">
        <v>143</v>
      </c>
      <c r="D41" s="78">
        <v>20187.509999999998</v>
      </c>
    </row>
    <row r="42" spans="1:4" x14ac:dyDescent="0.25">
      <c r="B42" t="s">
        <v>144</v>
      </c>
      <c r="D42" s="78">
        <v>11609.039999999999</v>
      </c>
    </row>
    <row r="43" spans="1:4" x14ac:dyDescent="0.25">
      <c r="B43" t="s">
        <v>145</v>
      </c>
      <c r="D43" s="78">
        <v>10091.699999999999</v>
      </c>
    </row>
    <row r="44" spans="1:4" x14ac:dyDescent="0.25">
      <c r="B44" t="s">
        <v>146</v>
      </c>
      <c r="D44" s="78">
        <v>20533.499999999996</v>
      </c>
    </row>
    <row r="45" spans="1:4" x14ac:dyDescent="0.25">
      <c r="B45" t="s">
        <v>147</v>
      </c>
      <c r="D45" s="78">
        <v>14215.240000000002</v>
      </c>
    </row>
    <row r="46" spans="1:4" x14ac:dyDescent="0.25">
      <c r="B46" t="s">
        <v>148</v>
      </c>
      <c r="D46" s="78">
        <v>20135.030000000002</v>
      </c>
    </row>
    <row r="47" spans="1:4" x14ac:dyDescent="0.25">
      <c r="B47" t="s">
        <v>149</v>
      </c>
      <c r="D47" s="78">
        <v>11120.04</v>
      </c>
    </row>
    <row r="48" spans="1:4" x14ac:dyDescent="0.25">
      <c r="A48" t="s">
        <v>140</v>
      </c>
      <c r="D48" s="78">
        <v>49788.399999999994</v>
      </c>
    </row>
    <row r="49" spans="1:4" x14ac:dyDescent="0.25">
      <c r="B49" t="s">
        <v>150</v>
      </c>
      <c r="D49" s="78">
        <v>14914.650000000001</v>
      </c>
    </row>
    <row r="50" spans="1:4" x14ac:dyDescent="0.25">
      <c r="B50" t="s">
        <v>151</v>
      </c>
      <c r="D50" s="78">
        <v>14006.359999999999</v>
      </c>
    </row>
    <row r="51" spans="1:4" x14ac:dyDescent="0.25">
      <c r="B51" t="s">
        <v>152</v>
      </c>
      <c r="D51" s="78">
        <v>17655.219999999998</v>
      </c>
    </row>
    <row r="52" spans="1:4" x14ac:dyDescent="0.25">
      <c r="B52" t="s">
        <v>141</v>
      </c>
      <c r="D52" s="78">
        <v>3212.17</v>
      </c>
    </row>
    <row r="53" spans="1:4" x14ac:dyDescent="0.25">
      <c r="A53" t="s">
        <v>136</v>
      </c>
      <c r="D53" s="78">
        <v>195217.76</v>
      </c>
    </row>
    <row r="64" spans="1:4" x14ac:dyDescent="0.25">
      <c r="A64" s="45" t="s">
        <v>3</v>
      </c>
      <c r="B64" t="s">
        <v>137</v>
      </c>
    </row>
    <row r="65" spans="1:2" x14ac:dyDescent="0.25">
      <c r="A65" t="s">
        <v>12</v>
      </c>
      <c r="B65" s="78">
        <v>47002.460000000006</v>
      </c>
    </row>
    <row r="66" spans="1:2" x14ac:dyDescent="0.25">
      <c r="A66" t="s">
        <v>15</v>
      </c>
      <c r="B66" s="78">
        <v>41927.589999999989</v>
      </c>
    </row>
    <row r="67" spans="1:2" x14ac:dyDescent="0.25">
      <c r="A67" t="s">
        <v>21</v>
      </c>
      <c r="B67" s="78">
        <v>41044.000000000007</v>
      </c>
    </row>
    <row r="68" spans="1:2" x14ac:dyDescent="0.25">
      <c r="A68" t="s">
        <v>27</v>
      </c>
      <c r="B68" s="78">
        <v>36612.89</v>
      </c>
    </row>
    <row r="69" spans="1:2" x14ac:dyDescent="0.25">
      <c r="A69" t="s">
        <v>39</v>
      </c>
      <c r="B69" s="78">
        <v>28630.819999999992</v>
      </c>
    </row>
    <row r="70" spans="1:2" x14ac:dyDescent="0.25">
      <c r="A70" t="s">
        <v>159</v>
      </c>
      <c r="B70" s="78"/>
    </row>
    <row r="71" spans="1:2" x14ac:dyDescent="0.25">
      <c r="A71" t="s">
        <v>136</v>
      </c>
      <c r="B71" s="78">
        <v>195217.76</v>
      </c>
    </row>
    <row r="97" spans="1:2" x14ac:dyDescent="0.25">
      <c r="A97" s="45" t="s">
        <v>2</v>
      </c>
      <c r="B97" t="s">
        <v>138</v>
      </c>
    </row>
    <row r="98" spans="1:2" x14ac:dyDescent="0.25">
      <c r="A98" t="s">
        <v>34</v>
      </c>
      <c r="B98" s="78">
        <v>16068.4</v>
      </c>
    </row>
    <row r="99" spans="1:2" x14ac:dyDescent="0.25">
      <c r="A99" t="s">
        <v>18</v>
      </c>
      <c r="B99" s="78">
        <v>11638.589999999997</v>
      </c>
    </row>
    <row r="100" spans="1:2" x14ac:dyDescent="0.25">
      <c r="A100" t="s">
        <v>24</v>
      </c>
      <c r="B100" s="78">
        <v>11902.279999999997</v>
      </c>
    </row>
    <row r="101" spans="1:2" x14ac:dyDescent="0.25">
      <c r="A101" t="s">
        <v>20</v>
      </c>
      <c r="B101" s="78">
        <v>13691.910000000003</v>
      </c>
    </row>
    <row r="102" spans="1:2" x14ac:dyDescent="0.25">
      <c r="A102" t="s">
        <v>11</v>
      </c>
      <c r="B102" s="78">
        <v>14985.830000000002</v>
      </c>
    </row>
    <row r="103" spans="1:2" x14ac:dyDescent="0.25">
      <c r="A103" t="s">
        <v>159</v>
      </c>
      <c r="B103" s="78"/>
    </row>
    <row r="104" spans="1:2" x14ac:dyDescent="0.25">
      <c r="A104" t="s">
        <v>136</v>
      </c>
      <c r="B104" s="78">
        <v>68287.010000000009</v>
      </c>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515EC-2495-48EF-AC00-7C1801A48207}">
  <dimension ref="A1:I14"/>
  <sheetViews>
    <sheetView view="pageBreakPreview" zoomScale="60" zoomScaleNormal="100" workbookViewId="0">
      <selection activeCell="E1" sqref="E1"/>
    </sheetView>
  </sheetViews>
  <sheetFormatPr defaultRowHeight="13.8" x14ac:dyDescent="0.25"/>
  <cols>
    <col min="1" max="1" width="11.3984375" customWidth="1"/>
    <col min="2" max="2" width="13.796875" customWidth="1"/>
    <col min="3" max="3" width="11.59765625" customWidth="1"/>
    <col min="5" max="5" width="12" customWidth="1"/>
    <col min="6" max="6" width="16" customWidth="1"/>
    <col min="8" max="8" width="14.5" customWidth="1"/>
    <col min="9" max="9" width="12.59765625" customWidth="1"/>
  </cols>
  <sheetData>
    <row r="1" spans="1:9" ht="14.4" x14ac:dyDescent="0.3">
      <c r="A1" s="37" t="s">
        <v>2</v>
      </c>
      <c r="B1" s="37" t="s">
        <v>121</v>
      </c>
      <c r="C1" s="37" t="s">
        <v>128</v>
      </c>
      <c r="E1" s="37" t="s">
        <v>120</v>
      </c>
      <c r="F1" s="37" t="s">
        <v>155</v>
      </c>
      <c r="H1" s="18" t="s">
        <v>156</v>
      </c>
      <c r="I1" s="18" t="s">
        <v>121</v>
      </c>
    </row>
    <row r="2" spans="1:9" x14ac:dyDescent="0.25">
      <c r="A2" s="40" t="str" cm="1">
        <f t="array" ref="A2">IFERROR(INDEX(Dataset!C$2:C$201,MATCH(0,COUNTIF(A$1:A1,Dataset!C$2:C$201),0)),"")</f>
        <v>West</v>
      </c>
      <c r="B2" s="40">
        <f>SUMIF(Dataset!C$2:C$201,A2,Dataset!E$2:E$201)</f>
        <v>44083.58</v>
      </c>
      <c r="C2" s="40">
        <f>SUMIF(Dataset!C$2:C$201,A2,Dataset!I$2:I$201)</f>
        <v>14985.830000000002</v>
      </c>
      <c r="E2" s="41">
        <f>MIN(Dataset!H:H)</f>
        <v>45392</v>
      </c>
      <c r="F2" s="40" cm="1">
        <f t="array" ref="F2">SUMPRODUCT((MONTH(Dataset!H$2:H$201)=MONTH(E2))*(YEAR(Dataset!H$2:H$201)=YEAR(E2))*Dataset!E$2:E$201)</f>
        <v>19029.96</v>
      </c>
      <c r="H2" s="14" t="str" cm="1">
        <f t="array" ref="H2">IFERROR(INDEX(Dataset!D$2:D$201,MATCH(0,COUNTIF(H$1:H1,Dataset!D$2:D$201),0)),"")</f>
        <v>Books</v>
      </c>
      <c r="I2" s="14">
        <f>SUMIF(Dataset!D$2:D$201,H2,Dataset!E$2:E$201)</f>
        <v>47002.460000000006</v>
      </c>
    </row>
    <row r="3" spans="1:9" x14ac:dyDescent="0.25">
      <c r="A3" s="40" t="str" cm="1">
        <f t="array" ref="A3">IFERROR(INDEX(Dataset!C$2:C$201,MATCH(0,COUNTIF(A$1:A2,Dataset!C$2:C$201),0)),"")</f>
        <v>East</v>
      </c>
      <c r="B3" s="40">
        <f>SUMIF(Dataset!C$2:C$201,A3,Dataset!E$2:E$201)</f>
        <v>32441.64</v>
      </c>
      <c r="C3" s="40">
        <f>SUMIF(Dataset!C$2:C$201,A3,Dataset!I$2:I$201)</f>
        <v>11638.589999999997</v>
      </c>
      <c r="E3" s="41">
        <f>EDATE(E2,1)</f>
        <v>45422</v>
      </c>
      <c r="F3" s="40" cm="1">
        <f t="array" ref="F3">SUMPRODUCT((MONTH(Dataset!H$2:H$201)=MONTH(E3))*(YEAR(Dataset!H$2:H$201)=YEAR(E3))*Dataset!E$2:E$201)</f>
        <v>18507.339999999997</v>
      </c>
      <c r="H3" s="14" t="str" cm="1">
        <f t="array" ref="H3">IFERROR(INDEX(Dataset!D$2:D$201,MATCH(0,COUNTIF(H$1:H2,Dataset!D$2:D$201),0)),"")</f>
        <v>Clothing</v>
      </c>
      <c r="I3" s="14">
        <f>SUMIF(Dataset!D$2:D$201,H3,Dataset!E$2:E$201)</f>
        <v>41927.589999999989</v>
      </c>
    </row>
    <row r="4" spans="1:9" x14ac:dyDescent="0.25">
      <c r="A4" s="40" t="str" cm="1">
        <f t="array" ref="A4">IFERROR(INDEX(Dataset!C$2:C$201,MATCH(0,COUNTIF(A$1:A3,Dataset!C$2:C$201),0)),"")</f>
        <v>South</v>
      </c>
      <c r="B4" s="40">
        <f>SUMIF(Dataset!C$2:C$201,A4,Dataset!E$2:E$201)</f>
        <v>40248.79</v>
      </c>
      <c r="C4" s="40">
        <f>SUMIF(Dataset!C$2:C$201,A4,Dataset!I$2:I$201)</f>
        <v>13691.910000000003</v>
      </c>
      <c r="E4" s="41">
        <f>EDATE(E2,2)</f>
        <v>45453</v>
      </c>
      <c r="F4" s="40" cm="1">
        <f t="array" ref="F4">SUMPRODUCT((MONTH(Dataset!H$2:H$201)=MONTH(E4))*(YEAR(Dataset!H$2:H$201)=YEAR(E4))*Dataset!E$2:E$201)</f>
        <v>20187.509999999998</v>
      </c>
      <c r="H4" s="14" t="str" cm="1">
        <f t="array" ref="H4">IFERROR(INDEX(Dataset!D$2:D$201,MATCH(0,COUNTIF(H$1:H3,Dataset!D$2:D$201),0)),"")</f>
        <v>Electronics</v>
      </c>
      <c r="I4" s="14">
        <f>SUMIF(Dataset!D$2:D$201,H4,Dataset!E$2:E$201)</f>
        <v>41044.000000000007</v>
      </c>
    </row>
    <row r="5" spans="1:9" x14ac:dyDescent="0.25">
      <c r="A5" s="40" t="str" cm="1">
        <f t="array" ref="A5">IFERROR(INDEX(Dataset!C$2:C$201,MATCH(0,COUNTIF(A$1:A4,Dataset!C$2:C$201),0)),"")</f>
        <v>North</v>
      </c>
      <c r="B5" s="40">
        <f>SUMIF(Dataset!C$2:C$201,A5,Dataset!E$2:E$201)</f>
        <v>34975.42</v>
      </c>
      <c r="C5" s="40">
        <f>SUMIF(Dataset!C$2:C$201,A5,Dataset!I$2:I$201)</f>
        <v>11902.279999999997</v>
      </c>
      <c r="E5" s="41">
        <f t="shared" ref="E5" si="0">EDATE(E4,1)</f>
        <v>45483</v>
      </c>
      <c r="F5" s="40" cm="1">
        <f t="array" ref="F5">SUMPRODUCT((MONTH(Dataset!H$2:H$201)=MONTH(E5))*(YEAR(Dataset!H$2:H$201)=YEAR(E5))*Dataset!E$2:E$201)</f>
        <v>11609.039999999999</v>
      </c>
      <c r="H5" s="14" t="str" cm="1">
        <f t="array" ref="H5">IFERROR(INDEX(Dataset!D$2:D$201,MATCH(0,COUNTIF(H$1:H4,Dataset!D$2:D$201),0)),"")</f>
        <v>Furniture</v>
      </c>
      <c r="I5" s="14">
        <f>SUMIF(Dataset!D$2:D$201,H5,Dataset!E$2:E$201)</f>
        <v>36612.89</v>
      </c>
    </row>
    <row r="6" spans="1:9" x14ac:dyDescent="0.25">
      <c r="A6" s="40" t="str" cm="1">
        <f t="array" ref="A6">IFERROR(INDEX(Dataset!C$2:C$201,MATCH(0,COUNTIF(A$1:A5,Dataset!C$2:C$201),0)),"")</f>
        <v>Central</v>
      </c>
      <c r="B6" s="40">
        <f>SUMIF(Dataset!C$2:C$201,A6,Dataset!E$2:E$201)</f>
        <v>43468.33</v>
      </c>
      <c r="C6" s="40">
        <f>SUMIF(Dataset!C$2:C$201,A6,Dataset!I$2:I$201)</f>
        <v>16068.4</v>
      </c>
      <c r="E6" s="41">
        <f t="shared" ref="E6" si="1">EDATE(E4,2)</f>
        <v>45514</v>
      </c>
      <c r="F6" s="40" cm="1">
        <f t="array" ref="F6">SUMPRODUCT((MONTH(Dataset!H$2:H$201)=MONTH(E6))*(YEAR(Dataset!H$2:H$201)=YEAR(E6))*Dataset!E$2:E$201)</f>
        <v>10091.699999999999</v>
      </c>
      <c r="H6" s="14" t="str" cm="1">
        <f t="array" ref="H6">IFERROR(INDEX(Dataset!D$2:D$201,MATCH(0,COUNTIF(H$1:H5,Dataset!D$2:D$201),0)),"")</f>
        <v>Office Supplies</v>
      </c>
      <c r="I6" s="14">
        <f>SUMIF(Dataset!D$2:D$201,H6,Dataset!E$2:E$201)</f>
        <v>28630.819999999992</v>
      </c>
    </row>
    <row r="7" spans="1:9" x14ac:dyDescent="0.25">
      <c r="E7" s="41">
        <f t="shared" ref="E7" si="2">EDATE(E6,1)</f>
        <v>45545</v>
      </c>
      <c r="F7" s="40" cm="1">
        <f t="array" ref="F7">SUMPRODUCT((MONTH(Dataset!H$2:H$201)=MONTH(E7))*(YEAR(Dataset!H$2:H$201)=YEAR(E7))*Dataset!E$2:E$201)</f>
        <v>20533.499999999996</v>
      </c>
    </row>
    <row r="8" spans="1:9" x14ac:dyDescent="0.25">
      <c r="E8" s="41">
        <f t="shared" ref="E8" si="3">EDATE(E6,2)</f>
        <v>45575</v>
      </c>
      <c r="F8" s="40" cm="1">
        <f t="array" ref="F8">SUMPRODUCT((MONTH(Dataset!H$2:H$201)=MONTH(E8))*(YEAR(Dataset!H$2:H$201)=YEAR(E8))*Dataset!E$2:E$201)</f>
        <v>14215.240000000002</v>
      </c>
    </row>
    <row r="9" spans="1:9" x14ac:dyDescent="0.25">
      <c r="E9" s="41">
        <f t="shared" ref="E9" si="4">EDATE(E8,1)</f>
        <v>45606</v>
      </c>
      <c r="F9" s="40" cm="1">
        <f t="array" ref="F9">SUMPRODUCT((MONTH(Dataset!H$2:H$201)=MONTH(E9))*(YEAR(Dataset!H$2:H$201)=YEAR(E9))*Dataset!E$2:E$201)</f>
        <v>20135.030000000002</v>
      </c>
    </row>
    <row r="10" spans="1:9" x14ac:dyDescent="0.25">
      <c r="E10" s="41">
        <f t="shared" ref="E10" si="5">EDATE(E8,2)</f>
        <v>45636</v>
      </c>
      <c r="F10" s="40" cm="1">
        <f t="array" ref="F10">SUMPRODUCT((MONTH(Dataset!H$2:H$201)=MONTH(E10))*(YEAR(Dataset!H$2:H$201)=YEAR(E10))*Dataset!E$2:E$201)</f>
        <v>11120.04</v>
      </c>
    </row>
    <row r="11" spans="1:9" x14ac:dyDescent="0.25">
      <c r="E11" s="41">
        <f t="shared" ref="E11" si="6">EDATE(E10,1)</f>
        <v>45667</v>
      </c>
      <c r="F11" s="40" cm="1">
        <f t="array" ref="F11">SUMPRODUCT((MONTH(Dataset!H$2:H$201)=MONTH(E11))*(YEAR(Dataset!H$2:H$201)=YEAR(E11))*Dataset!E$2:E$201)</f>
        <v>14914.650000000001</v>
      </c>
    </row>
    <row r="12" spans="1:9" x14ac:dyDescent="0.25">
      <c r="E12" s="41">
        <f t="shared" ref="E12" si="7">EDATE(E10,2)</f>
        <v>45698</v>
      </c>
      <c r="F12" s="40" cm="1">
        <f t="array" ref="F12">SUMPRODUCT((MONTH(Dataset!H$2:H$201)=MONTH(E12))*(YEAR(Dataset!H$2:H$201)=YEAR(E12))*Dataset!E$2:E$201)</f>
        <v>14006.359999999999</v>
      </c>
    </row>
    <row r="13" spans="1:9" x14ac:dyDescent="0.25">
      <c r="E13" s="41">
        <f t="shared" ref="E13" si="8">EDATE(E12,1)</f>
        <v>45726</v>
      </c>
      <c r="F13" s="40" cm="1">
        <f t="array" ref="F13">SUMPRODUCT((MONTH(Dataset!H$2:H$201)=MONTH(E13))*(YEAR(Dataset!H$2:H$201)=YEAR(E13))*Dataset!E$2:E$201)</f>
        <v>17655.219999999998</v>
      </c>
    </row>
    <row r="14" spans="1:9" x14ac:dyDescent="0.25">
      <c r="E14" s="41">
        <f t="shared" ref="E14" si="9">EDATE(E12,2)</f>
        <v>45757</v>
      </c>
      <c r="F14" s="40" cm="1">
        <f t="array" ref="F14">SUMPRODUCT((MONTH(Dataset!H$2:H$201)=MONTH(E14))*(YEAR(Dataset!H$2:H$201)=YEAR(E14))*Dataset!E$2:E$201)</f>
        <v>3212.17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Dataset</vt:lpstr>
      <vt:lpstr>Task_1</vt:lpstr>
      <vt:lpstr>Task_2</vt:lpstr>
      <vt:lpstr>Task_3</vt:lpstr>
      <vt:lpstr>Task_4</vt:lpstr>
      <vt:lpstr>Task_5 </vt:lpstr>
      <vt:lpstr>Task_6</vt:lpstr>
      <vt:lpstr>Task_7</vt:lpstr>
      <vt:lpstr>Task_8</vt:lpstr>
      <vt:lpstr>Task_9_kpi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pratik patil</cp:lastModifiedBy>
  <dcterms:created xsi:type="dcterms:W3CDTF">2026-05-18T09:11:55Z</dcterms:created>
  <dcterms:modified xsi:type="dcterms:W3CDTF">2026-05-23T16:39:51Z</dcterms:modified>
</cp:coreProperties>
</file>